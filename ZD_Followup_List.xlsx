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Follow-ups" sheetId="2" r:id="rId2"/>
    <sheet name="BANNU" sheetId="3" r:id="rId3"/>
    <sheet name="DIKHAN" sheetId="4" r:id="rId4"/>
    <sheet name="KHYBER" sheetId="5" r:id="rId5"/>
    <sheet name="LAKKIMRWT" sheetId="6" r:id="rId6"/>
    <sheet name="PESHAWAR" sheetId="7" r:id="rId7"/>
    <sheet name="TANK" sheetId="8" r:id="rId8"/>
    <sheet name="WAZIR-N" sheetId="9" r:id="rId9"/>
    <sheet name="WAZIR-S Lower" sheetId="10" r:id="rId10"/>
    <sheet name="WAZIR-S Upper" sheetId="11" r:id="rId11"/>
    <sheet name="Persistent Low UCs" sheetId="12" r:id="rId12"/>
    <sheet name="All UCs" sheetId="13" r:id="rId13"/>
  </sheets>
  <definedNames>
    <definedName name="_xlnm._FilterDatabase" localSheetId="1" hidden="1">'All Follow-ups'!$A$4:$Q$128</definedName>
    <definedName name="_xlnm._FilterDatabase" localSheetId="12" hidden="1">'All UCs'!$A$1:$O$422</definedName>
    <definedName name="_xlnm._FilterDatabase" localSheetId="2" hidden="1">BANNU!$A$4:$P$27</definedName>
    <definedName name="_xlnm._FilterDatabase" localSheetId="3" hidden="1">DIKHAN!$A$4:$P$16</definedName>
    <definedName name="_xlnm._FilterDatabase" localSheetId="4" hidden="1">KHYBER!$A$4:$P$13</definedName>
    <definedName name="_xlnm._FilterDatabase" localSheetId="5" hidden="1">LAKKIMRWT!$A$4:$P$14</definedName>
    <definedName name="_xlnm._FilterDatabase" localSheetId="11" hidden="1">'Persistent Low UCs'!$A$4:$M$24</definedName>
    <definedName name="_xlnm._FilterDatabase" localSheetId="6" hidden="1">PESHAWAR!$A$4:$P$20</definedName>
    <definedName name="_xlnm._FilterDatabase" localSheetId="7" hidden="1">TANK!$A$4:$P$11</definedName>
    <definedName name="_xlnm._FilterDatabase" localSheetId="8" hidden="1">'WAZIR-N'!$A$4:$P$19</definedName>
    <definedName name="_xlnm._FilterDatabase" localSheetId="9" hidden="1">'WAZIR-S Lower'!$A$4:$P$24</definedName>
    <definedName name="_xlnm._FilterDatabase" localSheetId="10" hidden="1">'WAZIR-S Upper'!$A$4:$P$16</definedName>
    <definedName name="_xlnm.Print_Titles" localSheetId="1">'All Follow-ups'!$4:$4</definedName>
    <definedName name="_xlnm.Print_Titles" localSheetId="2">BANNU!$4:$4</definedName>
    <definedName name="_xlnm.Print_Titles" localSheetId="3">DIKHAN!$4:$4</definedName>
    <definedName name="_xlnm.Print_Titles" localSheetId="4">KHYBER!$4:$4</definedName>
    <definedName name="_xlnm.Print_Titles" localSheetId="5">LAKKIMRWT!$4:$4</definedName>
    <definedName name="_xlnm.Print_Titles" localSheetId="11">'Persistent Low UCs'!$4:$4</definedName>
    <definedName name="_xlnm.Print_Titles" localSheetId="6">PESHAWAR!$4:$4</definedName>
    <definedName name="_xlnm.Print_Titles" localSheetId="7">TANK!$4:$4</definedName>
    <definedName name="_xlnm.Print_Titles" localSheetId="8">'WAZIR-N'!$4:$4</definedName>
    <definedName name="_xlnm.Print_Titles" localSheetId="9">'WAZIR-S Lower'!$4:$4</definedName>
    <definedName name="_xlnm.Print_Titles" localSheetId="10">'WAZIR-S Upper'!$4:$4</definedName>
  </definedNames>
  <calcPr calcId="124519" fullCalcOnLoad="1"/>
</workbook>
</file>

<file path=xl/sharedStrings.xml><?xml version="1.0" encoding="utf-8"?>
<sst xmlns="http://schemas.openxmlformats.org/spreadsheetml/2006/main" count="5949" uniqueCount="980">
  <si>
    <t>Division</t>
  </si>
  <si>
    <t>District</t>
  </si>
  <si>
    <t>Tehsil</t>
  </si>
  <si>
    <t>UC</t>
  </si>
  <si>
    <t>UC Code</t>
  </si>
  <si>
    <t>ZD Reported</t>
  </si>
  <si>
    <t>ZD Linelist</t>
  </si>
  <si>
    <t>Completion %</t>
  </si>
  <si>
    <t>Duplicate Count</t>
  </si>
  <si>
    <t>Follow-up priority</t>
  </si>
  <si>
    <t>May ZD Reported</t>
  </si>
  <si>
    <t>May ZD Linelist</t>
  </si>
  <si>
    <t>May completion %</t>
  </si>
  <si>
    <t>Change (pts)</t>
  </si>
  <si>
    <t>Trend May→Sept</t>
  </si>
  <si>
    <t>BANNU</t>
  </si>
  <si>
    <t>BAKAKHEL</t>
  </si>
  <si>
    <t>GHURA BAKA KHEL</t>
  </si>
  <si>
    <t>36103002</t>
  </si>
  <si>
    <t/>
  </si>
  <si>
    <t>Stable (80%+ both)</t>
  </si>
  <si>
    <t>GURBAZ</t>
  </si>
  <si>
    <t>36103003</t>
  </si>
  <si>
    <t>Recovered</t>
  </si>
  <si>
    <t>MOMAND KHEL</t>
  </si>
  <si>
    <t>36103005</t>
  </si>
  <si>
    <t>P3 – Verify: over-entry</t>
  </si>
  <si>
    <t>NARMI KHEL</t>
  </si>
  <si>
    <t>36103006</t>
  </si>
  <si>
    <t>SARDI KHEL</t>
  </si>
  <si>
    <t>36103007</t>
  </si>
  <si>
    <t>TAKHTI KHEL</t>
  </si>
  <si>
    <t>36103008</t>
  </si>
  <si>
    <t>AMANDI</t>
  </si>
  <si>
    <t>36101001</t>
  </si>
  <si>
    <t>BANNUCITY2</t>
  </si>
  <si>
    <t>36101049</t>
  </si>
  <si>
    <t>BAZAR AHMAD KHAN</t>
  </si>
  <si>
    <t>36101004</t>
  </si>
  <si>
    <t>CITY 1</t>
  </si>
  <si>
    <t>36101048</t>
  </si>
  <si>
    <t>DAUD SHAH</t>
  </si>
  <si>
    <t>36101009</t>
  </si>
  <si>
    <t>DIRMA KHEL</t>
  </si>
  <si>
    <t>36101010</t>
  </si>
  <si>
    <t>P4 – Low (50–80%)</t>
  </si>
  <si>
    <t>Persistent low</t>
  </si>
  <si>
    <t>FATIMA KHEL</t>
  </si>
  <si>
    <t>36101012</t>
  </si>
  <si>
    <t>GHARI SHER AHMAD</t>
  </si>
  <si>
    <t>36101013</t>
  </si>
  <si>
    <t>GHORIWALA 1</t>
  </si>
  <si>
    <t>36101050</t>
  </si>
  <si>
    <t>GHORIWALA 2</t>
  </si>
  <si>
    <t>36101051</t>
  </si>
  <si>
    <t>HINJAL</t>
  </si>
  <si>
    <t>36101016</t>
  </si>
  <si>
    <t>ISMAIL KHEL</t>
  </si>
  <si>
    <t>36101017</t>
  </si>
  <si>
    <t>JHANDOO KHEL</t>
  </si>
  <si>
    <t>36101018</t>
  </si>
  <si>
    <t>KALAKHEIL</t>
  </si>
  <si>
    <t>36101036</t>
  </si>
  <si>
    <t>KHWAJA MAD</t>
  </si>
  <si>
    <t>36101022</t>
  </si>
  <si>
    <t>LALO ZAI</t>
  </si>
  <si>
    <t>36101023</t>
  </si>
  <si>
    <t>P1 – No entries</t>
  </si>
  <si>
    <t>Newly declined</t>
  </si>
  <si>
    <t>MAMASH KHEL</t>
  </si>
  <si>
    <t>36101025</t>
  </si>
  <si>
    <t>MANDAN</t>
  </si>
  <si>
    <t>36101026</t>
  </si>
  <si>
    <t>MIRA KHEL</t>
  </si>
  <si>
    <t>36101027</t>
  </si>
  <si>
    <t>SHAHBAZ AZMAT KHEL</t>
  </si>
  <si>
    <t>36101031</t>
  </si>
  <si>
    <t>SHAMSHI KHEL</t>
  </si>
  <si>
    <t>36101032</t>
  </si>
  <si>
    <t>SIKANDAR KHEL BALLA</t>
  </si>
  <si>
    <t>36101033</t>
  </si>
  <si>
    <t>SUKARI</t>
  </si>
  <si>
    <t>36101034</t>
  </si>
  <si>
    <t>DOMEL</t>
  </si>
  <si>
    <t>ARAL HATHI KHEL</t>
  </si>
  <si>
    <t>36105001</t>
  </si>
  <si>
    <t>ASPERKA WAZIRAN</t>
  </si>
  <si>
    <t>36105002</t>
  </si>
  <si>
    <t>BIZEN KHEL 1</t>
  </si>
  <si>
    <t>36105003</t>
  </si>
  <si>
    <t>BIZEN KHEL 2</t>
  </si>
  <si>
    <t>36105004</t>
  </si>
  <si>
    <t>DOMEL 1</t>
  </si>
  <si>
    <t>36105005</t>
  </si>
  <si>
    <t>DOMEL 2</t>
  </si>
  <si>
    <t>36105006</t>
  </si>
  <si>
    <t>GADI TAP</t>
  </si>
  <si>
    <t>36105007</t>
  </si>
  <si>
    <t>GHAZI MERJAN</t>
  </si>
  <si>
    <t>36105008</t>
  </si>
  <si>
    <t>Not comparable</t>
  </si>
  <si>
    <t>KHANDER KHANKHEL</t>
  </si>
  <si>
    <t>36105009</t>
  </si>
  <si>
    <t>MUSA KHEL WALAGI</t>
  </si>
  <si>
    <t>36105010</t>
  </si>
  <si>
    <t>ZERAKI PIRBAKHEL</t>
  </si>
  <si>
    <t>36105011</t>
  </si>
  <si>
    <t>KAKKI</t>
  </si>
  <si>
    <t>BHARAT</t>
  </si>
  <si>
    <t>36106001</t>
  </si>
  <si>
    <t>KAKKI 1</t>
  </si>
  <si>
    <t>36106002</t>
  </si>
  <si>
    <t>KAKKI 2</t>
  </si>
  <si>
    <t>36106003</t>
  </si>
  <si>
    <t>KHUJARI</t>
  </si>
  <si>
    <t>36106004</t>
  </si>
  <si>
    <t>NAR SHUKRULLAH</t>
  </si>
  <si>
    <t>36106006</t>
  </si>
  <si>
    <t>MIRYAN</t>
  </si>
  <si>
    <t>HAVED LANDIDAK</t>
  </si>
  <si>
    <t>36107001</t>
  </si>
  <si>
    <t>LEWAN</t>
  </si>
  <si>
    <t>36107002</t>
  </si>
  <si>
    <t>MAMA KHEL</t>
  </si>
  <si>
    <t>36107003</t>
  </si>
  <si>
    <t>MITA KHEL</t>
  </si>
  <si>
    <t>36107004</t>
  </si>
  <si>
    <t>MOMBATI 1</t>
  </si>
  <si>
    <t>36107005</t>
  </si>
  <si>
    <t>MOMBATI 2</t>
  </si>
  <si>
    <t>36107006</t>
  </si>
  <si>
    <t>NURAR</t>
  </si>
  <si>
    <t>36107007</t>
  </si>
  <si>
    <t>WAZIR</t>
  </si>
  <si>
    <t>DERYOBA</t>
  </si>
  <si>
    <t>36102002</t>
  </si>
  <si>
    <t>HINDI KHEL</t>
  </si>
  <si>
    <t>36102011</t>
  </si>
  <si>
    <t>JANI KHEL COLONY</t>
  </si>
  <si>
    <t>36102012</t>
  </si>
  <si>
    <t>SAIN TANGA</t>
  </si>
  <si>
    <t>36102006</t>
  </si>
  <si>
    <t>ZARWAM</t>
  </si>
  <si>
    <t>36102005</t>
  </si>
  <si>
    <t>LAKKIMRWT</t>
  </si>
  <si>
    <t>BETTANI</t>
  </si>
  <si>
    <t>CHECHANDI SAMAN</t>
  </si>
  <si>
    <t>36204007</t>
  </si>
  <si>
    <t>GABBAR BAGH</t>
  </si>
  <si>
    <t>36204011</t>
  </si>
  <si>
    <t>KOUTE KHWUA</t>
  </si>
  <si>
    <t>36204008</t>
  </si>
  <si>
    <t>PIAKASHT BETTANI</t>
  </si>
  <si>
    <t>36204003</t>
  </si>
  <si>
    <t>RATAN ZAI</t>
  </si>
  <si>
    <t>36204004</t>
  </si>
  <si>
    <t>SHEMALA</t>
  </si>
  <si>
    <t>36204005</t>
  </si>
  <si>
    <t>WATEEN SAR</t>
  </si>
  <si>
    <t>36204009</t>
  </si>
  <si>
    <t>GHAZNI KHEL</t>
  </si>
  <si>
    <t>ABDULKHEL</t>
  </si>
  <si>
    <t>36205001</t>
  </si>
  <si>
    <t>BEHRAM KHEL</t>
  </si>
  <si>
    <t>36205002</t>
  </si>
  <si>
    <t>GHAZNIKHEL</t>
  </si>
  <si>
    <t>36205003</t>
  </si>
  <si>
    <t>KHAKAKHEL</t>
  </si>
  <si>
    <t>36205004</t>
  </si>
  <si>
    <t>KHERUKHEL PAKKA</t>
  </si>
  <si>
    <t>36205005</t>
  </si>
  <si>
    <t>MASHAMANSOOR</t>
  </si>
  <si>
    <t>36205006</t>
  </si>
  <si>
    <t>PEZO</t>
  </si>
  <si>
    <t>36205007</t>
  </si>
  <si>
    <t>SALAMANKHEL</t>
  </si>
  <si>
    <t>36205011</t>
  </si>
  <si>
    <t>TAJAZAI</t>
  </si>
  <si>
    <t>36205008</t>
  </si>
  <si>
    <t>TAJORI</t>
  </si>
  <si>
    <t>36205009</t>
  </si>
  <si>
    <t>TITERKHEL</t>
  </si>
  <si>
    <t>36205010</t>
  </si>
  <si>
    <t>LAKKI MARWAT</t>
  </si>
  <si>
    <t>ABBAKHEL</t>
  </si>
  <si>
    <t>36202022</t>
  </si>
  <si>
    <t>AHMADKHEL</t>
  </si>
  <si>
    <t>36202023</t>
  </si>
  <si>
    <t>BEGOKHEL</t>
  </si>
  <si>
    <t>36202028</t>
  </si>
  <si>
    <t>CITY 2</t>
  </si>
  <si>
    <t>36202021</t>
  </si>
  <si>
    <t>DERATANG</t>
  </si>
  <si>
    <t>36202030</t>
  </si>
  <si>
    <t>ISAKKHEL</t>
  </si>
  <si>
    <t>36202024</t>
  </si>
  <si>
    <t>LAKKI</t>
  </si>
  <si>
    <t>36202033</t>
  </si>
  <si>
    <t>LANDIWA</t>
  </si>
  <si>
    <t>36202034</t>
  </si>
  <si>
    <t>MUSHMATIKHANI</t>
  </si>
  <si>
    <t>36202036</t>
  </si>
  <si>
    <t>SAMANDI</t>
  </si>
  <si>
    <t>36202038</t>
  </si>
  <si>
    <t>SHAPKHEL</t>
  </si>
  <si>
    <t>36202039</t>
  </si>
  <si>
    <t>SERAI NAURANG</t>
  </si>
  <si>
    <t>ABUSAMAND BEGOKHE</t>
  </si>
  <si>
    <t>36203013</t>
  </si>
  <si>
    <t>BAKHMAL AHMAD ZAI</t>
  </si>
  <si>
    <t>36203022</t>
  </si>
  <si>
    <t>BIASTKHEL</t>
  </si>
  <si>
    <t>36203023</t>
  </si>
  <si>
    <t>GANDI</t>
  </si>
  <si>
    <t>36203014</t>
  </si>
  <si>
    <t>KOTKASHMIR</t>
  </si>
  <si>
    <t>36203015</t>
  </si>
  <si>
    <t>MAMAKHEL</t>
  </si>
  <si>
    <t>36203016</t>
  </si>
  <si>
    <t>MARMANDI AZIM</t>
  </si>
  <si>
    <t>36203024</t>
  </si>
  <si>
    <t>PARKHEL TALL</t>
  </si>
  <si>
    <t>36203017</t>
  </si>
  <si>
    <t>36203019</t>
  </si>
  <si>
    <t>SHAKH QULI KHAN</t>
  </si>
  <si>
    <t>36203020</t>
  </si>
  <si>
    <t>THAKHTIKHEL</t>
  </si>
  <si>
    <t>36203021</t>
  </si>
  <si>
    <t>WAZIR-N</t>
  </si>
  <si>
    <t>DATTAKHEL</t>
  </si>
  <si>
    <t>DATTA KHEL 1</t>
  </si>
  <si>
    <t>36404001</t>
  </si>
  <si>
    <t>P2 – Critical (&lt;50%)</t>
  </si>
  <si>
    <t>DATTA KHEL 2</t>
  </si>
  <si>
    <t>36404002</t>
  </si>
  <si>
    <t>DATTA KHEL 3</t>
  </si>
  <si>
    <t>36404003</t>
  </si>
  <si>
    <t>DATTA KHEL 6</t>
  </si>
  <si>
    <t>36404004</t>
  </si>
  <si>
    <t>DOSSALI</t>
  </si>
  <si>
    <t>DOSALI 1</t>
  </si>
  <si>
    <t>36405001</t>
  </si>
  <si>
    <t>DOSALI 2</t>
  </si>
  <si>
    <t>36405002</t>
  </si>
  <si>
    <t>P3 – Verify: no IDIMS figure</t>
  </si>
  <si>
    <t>GARYOUM</t>
  </si>
  <si>
    <t>36406001</t>
  </si>
  <si>
    <t>GHULAM KHAN</t>
  </si>
  <si>
    <t>36407002</t>
  </si>
  <si>
    <t>MIR ALI</t>
  </si>
  <si>
    <t>MIR ALI 1</t>
  </si>
  <si>
    <t>36401032</t>
  </si>
  <si>
    <t>MIR ALI 2</t>
  </si>
  <si>
    <t>36401033</t>
  </si>
  <si>
    <t>MIR ALI 3</t>
  </si>
  <si>
    <t>36401034</t>
  </si>
  <si>
    <t>MIR ALI 4</t>
  </si>
  <si>
    <t>36401035</t>
  </si>
  <si>
    <t>MIR ALI 5</t>
  </si>
  <si>
    <t>36401036</t>
  </si>
  <si>
    <t>MIR ALI 6</t>
  </si>
  <si>
    <t>36401037</t>
  </si>
  <si>
    <t>MIR ALI 7</t>
  </si>
  <si>
    <t>36401038</t>
  </si>
  <si>
    <t>MIRAN SHAH</t>
  </si>
  <si>
    <t>MIRAN SHAH 1</t>
  </si>
  <si>
    <t>36402042</t>
  </si>
  <si>
    <t>MIRAN SHAH 2</t>
  </si>
  <si>
    <t>36402043</t>
  </si>
  <si>
    <t>MIRAN SHAH 3</t>
  </si>
  <si>
    <t>36402044</t>
  </si>
  <si>
    <t>RAZMAK</t>
  </si>
  <si>
    <t>36403023</t>
  </si>
  <si>
    <t>SHAWA</t>
  </si>
  <si>
    <t>SHAWA 1</t>
  </si>
  <si>
    <t>36408001</t>
  </si>
  <si>
    <t>SHAWA 2</t>
  </si>
  <si>
    <t>36408002</t>
  </si>
  <si>
    <t>SPINWAM</t>
  </si>
  <si>
    <t>SPINWAM 1</t>
  </si>
  <si>
    <t>36409001</t>
  </si>
  <si>
    <t>SPINWAM 2</t>
  </si>
  <si>
    <t>36409002</t>
  </si>
  <si>
    <t>DIKHAN</t>
  </si>
  <si>
    <t>DARAZINDA</t>
  </si>
  <si>
    <t>BEHRAAN</t>
  </si>
  <si>
    <t>36008003</t>
  </si>
  <si>
    <t>36008002</t>
  </si>
  <si>
    <t>KOHI BAHARA</t>
  </si>
  <si>
    <t>36008004</t>
  </si>
  <si>
    <t>MORGA</t>
  </si>
  <si>
    <t>36008005</t>
  </si>
  <si>
    <t>MUGHAL KOT</t>
  </si>
  <si>
    <t>36008001</t>
  </si>
  <si>
    <t>DERA ISMAIL KHAN</t>
  </si>
  <si>
    <t>CHEHKAN</t>
  </si>
  <si>
    <t>36002001</t>
  </si>
  <si>
    <t>DERA CITY-I</t>
  </si>
  <si>
    <t>36002002</t>
  </si>
  <si>
    <t>DERA CITY-II</t>
  </si>
  <si>
    <t>36002003</t>
  </si>
  <si>
    <t>DERA CITY-III</t>
  </si>
  <si>
    <t>36002004</t>
  </si>
  <si>
    <t>DERA CITY-IV</t>
  </si>
  <si>
    <t>36002005</t>
  </si>
  <si>
    <t>DERA CITY-V</t>
  </si>
  <si>
    <t>36002006</t>
  </si>
  <si>
    <t>DERA JAAT I</t>
  </si>
  <si>
    <t>36002007</t>
  </si>
  <si>
    <t>DERA JAAT II</t>
  </si>
  <si>
    <t>36002008</t>
  </si>
  <si>
    <t>DEWALA</t>
  </si>
  <si>
    <t>36002009</t>
  </si>
  <si>
    <t>GILOTI</t>
  </si>
  <si>
    <t>36002010</t>
  </si>
  <si>
    <t>HASSAM</t>
  </si>
  <si>
    <t>36002011</t>
  </si>
  <si>
    <t>KEICH</t>
  </si>
  <si>
    <t>36002012</t>
  </si>
  <si>
    <t>KOTLA SAIDAN</t>
  </si>
  <si>
    <t>36002013</t>
  </si>
  <si>
    <t>KURAI</t>
  </si>
  <si>
    <t>36002014</t>
  </si>
  <si>
    <t>LACHRA</t>
  </si>
  <si>
    <t>36002015</t>
  </si>
  <si>
    <t>MURYALI</t>
  </si>
  <si>
    <t>36002021</t>
  </si>
  <si>
    <t>RAKH MANDHRAN</t>
  </si>
  <si>
    <t>36002016</t>
  </si>
  <si>
    <t>RATTA KULACHI</t>
  </si>
  <si>
    <t>36002017</t>
  </si>
  <si>
    <t>SHOR KOT</t>
  </si>
  <si>
    <t>36002018</t>
  </si>
  <si>
    <t>YARIK</t>
  </si>
  <si>
    <t>36002019</t>
  </si>
  <si>
    <t>ZANDANI</t>
  </si>
  <si>
    <t>36002020</t>
  </si>
  <si>
    <t>DRABAN</t>
  </si>
  <si>
    <t>BHUKKI</t>
  </si>
  <si>
    <t>36003005</t>
  </si>
  <si>
    <t>CHAUDWAN</t>
  </si>
  <si>
    <t>36003004</t>
  </si>
  <si>
    <t>DRABAN KALAN</t>
  </si>
  <si>
    <t>36003002</t>
  </si>
  <si>
    <t>GARA ESSA KHAN</t>
  </si>
  <si>
    <t>36003001</t>
  </si>
  <si>
    <t>MUSAZAI</t>
  </si>
  <si>
    <t>36003003</t>
  </si>
  <si>
    <t>KULACHI</t>
  </si>
  <si>
    <t>HATHALA</t>
  </si>
  <si>
    <t>36005002</t>
  </si>
  <si>
    <t>36005001</t>
  </si>
  <si>
    <t>LOONI</t>
  </si>
  <si>
    <t>36005004</t>
  </si>
  <si>
    <t>MADDI</t>
  </si>
  <si>
    <t>36005003</t>
  </si>
  <si>
    <t>PAROA</t>
  </si>
  <si>
    <t>KIRRI SHAMOZAI</t>
  </si>
  <si>
    <t>36006007</t>
  </si>
  <si>
    <t>LUNDA</t>
  </si>
  <si>
    <t>36006002</t>
  </si>
  <si>
    <t>MAHRA</t>
  </si>
  <si>
    <t>36006003</t>
  </si>
  <si>
    <t>MALANA</t>
  </si>
  <si>
    <t>36006001</t>
  </si>
  <si>
    <t>MIRAN</t>
  </si>
  <si>
    <t>36006006</t>
  </si>
  <si>
    <t>NAIWAILA</t>
  </si>
  <si>
    <t>36006004</t>
  </si>
  <si>
    <t>36006005</t>
  </si>
  <si>
    <t>PHARPUR</t>
  </si>
  <si>
    <t>BANDKORAI</t>
  </si>
  <si>
    <t>36007008</t>
  </si>
  <si>
    <t>BHAGWANI</t>
  </si>
  <si>
    <t>36007001</t>
  </si>
  <si>
    <t>BILOT</t>
  </si>
  <si>
    <t>36007006</t>
  </si>
  <si>
    <t>DHAP SHUMALI</t>
  </si>
  <si>
    <t>36007009</t>
  </si>
  <si>
    <t>KATHGAR</t>
  </si>
  <si>
    <t>36007004</t>
  </si>
  <si>
    <t>KIRIKHESOR</t>
  </si>
  <si>
    <t>36007003</t>
  </si>
  <si>
    <t>KOTJAI</t>
  </si>
  <si>
    <t>36007005</t>
  </si>
  <si>
    <t>P3 – Verify: duplicates</t>
  </si>
  <si>
    <t>LAAR</t>
  </si>
  <si>
    <t>36007002</t>
  </si>
  <si>
    <t>PAHARPUR</t>
  </si>
  <si>
    <t>36007007</t>
  </si>
  <si>
    <t>PANYALA</t>
  </si>
  <si>
    <t>36007010</t>
  </si>
  <si>
    <t>WANDA KHAN MUHAMMAD</t>
  </si>
  <si>
    <t>36007011</t>
  </si>
  <si>
    <t>TANK</t>
  </si>
  <si>
    <t>JANDOLA</t>
  </si>
  <si>
    <t>JANDOLA A</t>
  </si>
  <si>
    <t>36303002</t>
  </si>
  <si>
    <t>JANDOLA B</t>
  </si>
  <si>
    <t>36303001</t>
  </si>
  <si>
    <t>KHAISRAY</t>
  </si>
  <si>
    <t>36303003</t>
  </si>
  <si>
    <t>PING A</t>
  </si>
  <si>
    <t>36303004</t>
  </si>
  <si>
    <t>PING B</t>
  </si>
  <si>
    <t>36303005</t>
  </si>
  <si>
    <t>PIR TANGY</t>
  </si>
  <si>
    <t>36303006</t>
  </si>
  <si>
    <t>AMAKHEL</t>
  </si>
  <si>
    <t>36302001</t>
  </si>
  <si>
    <t>DABARA</t>
  </si>
  <si>
    <t>36302002</t>
  </si>
  <si>
    <t>GARA BALOCH</t>
  </si>
  <si>
    <t>36302003</t>
  </si>
  <si>
    <t>GOMAL BAZZAR</t>
  </si>
  <si>
    <t>36302004</t>
  </si>
  <si>
    <t>GUL-IMAM</t>
  </si>
  <si>
    <t>36302005</t>
  </si>
  <si>
    <t>JATTATER</t>
  </si>
  <si>
    <t>36302006</t>
  </si>
  <si>
    <t>MULAZAI</t>
  </si>
  <si>
    <t>36302007</t>
  </si>
  <si>
    <t>PAI</t>
  </si>
  <si>
    <t>36302008</t>
  </si>
  <si>
    <t>RANWAL</t>
  </si>
  <si>
    <t>36302009</t>
  </si>
  <si>
    <t>SARANGZOONA</t>
  </si>
  <si>
    <t>36302010</t>
  </si>
  <si>
    <t>SHAH AALAM</t>
  </si>
  <si>
    <t>36302011</t>
  </si>
  <si>
    <t>SHEIKH UTTAR</t>
  </si>
  <si>
    <t>36302012</t>
  </si>
  <si>
    <t>TANK CITY</t>
  </si>
  <si>
    <t>36302013</t>
  </si>
  <si>
    <t>TANK CITY 2</t>
  </si>
  <si>
    <t>36302014</t>
  </si>
  <si>
    <t>TATTA</t>
  </si>
  <si>
    <t>36302015</t>
  </si>
  <si>
    <t>WARASPOON</t>
  </si>
  <si>
    <t>36302016</t>
  </si>
  <si>
    <t>WAZIR-S Lower</t>
  </si>
  <si>
    <t>BIRMAL</t>
  </si>
  <si>
    <t>Angoor Adda</t>
  </si>
  <si>
    <t>36701001</t>
  </si>
  <si>
    <t>Azam Warsak A</t>
  </si>
  <si>
    <t>36701002</t>
  </si>
  <si>
    <t>Azam Warsak B</t>
  </si>
  <si>
    <t>36701003</t>
  </si>
  <si>
    <t>Dana</t>
  </si>
  <si>
    <t>36701004</t>
  </si>
  <si>
    <t>Kalosha Lower</t>
  </si>
  <si>
    <t>36701005</t>
  </si>
  <si>
    <t>Kham Rang</t>
  </si>
  <si>
    <t>36701009</t>
  </si>
  <si>
    <t>Landi Warai</t>
  </si>
  <si>
    <t>36701006</t>
  </si>
  <si>
    <t>Nazai Narai</t>
  </si>
  <si>
    <t>36701008</t>
  </si>
  <si>
    <t>Raghzai</t>
  </si>
  <si>
    <t>36701007</t>
  </si>
  <si>
    <t>Shin Warsak</t>
  </si>
  <si>
    <t>36701010</t>
  </si>
  <si>
    <t>Shulam</t>
  </si>
  <si>
    <t>36701011</t>
  </si>
  <si>
    <t>Wacha Dana</t>
  </si>
  <si>
    <t>36701012</t>
  </si>
  <si>
    <t>Zhalai</t>
  </si>
  <si>
    <t>36701013</t>
  </si>
  <si>
    <t>SHAKAI</t>
  </si>
  <si>
    <t>Mantoi</t>
  </si>
  <si>
    <t>36702001</t>
  </si>
  <si>
    <t>Sanga</t>
  </si>
  <si>
    <t>36702003</t>
  </si>
  <si>
    <t>Sangtoi</t>
  </si>
  <si>
    <t>36702002</t>
  </si>
  <si>
    <t>Shakai</t>
  </si>
  <si>
    <t>36702004</t>
  </si>
  <si>
    <t>Shodia Kai</t>
  </si>
  <si>
    <t>36702005</t>
  </si>
  <si>
    <t>TOI KHULLA</t>
  </si>
  <si>
    <t>Gul Kach</t>
  </si>
  <si>
    <t>36703001</t>
  </si>
  <si>
    <t>Toi Khullah</t>
  </si>
  <si>
    <t>36703002</t>
  </si>
  <si>
    <t>Zar Mellon</t>
  </si>
  <si>
    <t>36703003</t>
  </si>
  <si>
    <t>WANA</t>
  </si>
  <si>
    <t>Dazha Ghundai</t>
  </si>
  <si>
    <t>36704001</t>
  </si>
  <si>
    <t>Doag</t>
  </si>
  <si>
    <t>36704002</t>
  </si>
  <si>
    <t>Dob Kot</t>
  </si>
  <si>
    <t>36704003</t>
  </si>
  <si>
    <t>Ghawa Khawa</t>
  </si>
  <si>
    <t>36704004</t>
  </si>
  <si>
    <t>Gomal Dam</t>
  </si>
  <si>
    <t>36704005</t>
  </si>
  <si>
    <t>Kari Kot</t>
  </si>
  <si>
    <t>36704006</t>
  </si>
  <si>
    <t>Lamon</t>
  </si>
  <si>
    <t>36704007</t>
  </si>
  <si>
    <t>Michan Baba</t>
  </si>
  <si>
    <t>36704008</t>
  </si>
  <si>
    <t>Samar Bagh</t>
  </si>
  <si>
    <t>36704009</t>
  </si>
  <si>
    <t>Spin</t>
  </si>
  <si>
    <t>36704010</t>
  </si>
  <si>
    <t>Tanai</t>
  </si>
  <si>
    <t>36704011</t>
  </si>
  <si>
    <t>Wacha Khura</t>
  </si>
  <si>
    <t>36704012</t>
  </si>
  <si>
    <t>Wana City</t>
  </si>
  <si>
    <t>36704013</t>
  </si>
  <si>
    <t>Zalwanay</t>
  </si>
  <si>
    <t>36704014</t>
  </si>
  <si>
    <t>Zari Noor</t>
  </si>
  <si>
    <t>36704015</t>
  </si>
  <si>
    <t>WAZIR-S Upper</t>
  </si>
  <si>
    <t>Ladha</t>
  </si>
  <si>
    <t>Badar</t>
  </si>
  <si>
    <t>36601004</t>
  </si>
  <si>
    <t>Kaniguram</t>
  </si>
  <si>
    <t>36601003</t>
  </si>
  <si>
    <t>Karama</t>
  </si>
  <si>
    <t>36601006</t>
  </si>
  <si>
    <t>36601001</t>
  </si>
  <si>
    <t>Mishta</t>
  </si>
  <si>
    <t>36601005</t>
  </si>
  <si>
    <t>Speshteen</t>
  </si>
  <si>
    <t>36601007</t>
  </si>
  <si>
    <t>Tangi Budinzai</t>
  </si>
  <si>
    <t>36601002</t>
  </si>
  <si>
    <t>Makeen</t>
  </si>
  <si>
    <t>36602001</t>
  </si>
  <si>
    <t>Shabi Khel</t>
  </si>
  <si>
    <t>36602004</t>
  </si>
  <si>
    <t>Shaga</t>
  </si>
  <si>
    <t>36602002</t>
  </si>
  <si>
    <t>Spin Kamar</t>
  </si>
  <si>
    <t>36602005</t>
  </si>
  <si>
    <t>Wedan</t>
  </si>
  <si>
    <t>36602003</t>
  </si>
  <si>
    <t>Sararogha</t>
  </si>
  <si>
    <t>Bangi Wala</t>
  </si>
  <si>
    <t>36603008</t>
  </si>
  <si>
    <t>Hebat Khel</t>
  </si>
  <si>
    <t>36603004</t>
  </si>
  <si>
    <t>Janata</t>
  </si>
  <si>
    <t>36603003</t>
  </si>
  <si>
    <t>Piyazah</t>
  </si>
  <si>
    <t>36603007</t>
  </si>
  <si>
    <t>Sara Rogha</t>
  </si>
  <si>
    <t>36603001</t>
  </si>
  <si>
    <t>Shakari</t>
  </si>
  <si>
    <t>36603009</t>
  </si>
  <si>
    <t>Shankai</t>
  </si>
  <si>
    <t>36603005</t>
  </si>
  <si>
    <t>Spinkai Raghzai</t>
  </si>
  <si>
    <t>36603002</t>
  </si>
  <si>
    <t>36603006</t>
  </si>
  <si>
    <t>Sarwekai</t>
  </si>
  <si>
    <t>Barwand</t>
  </si>
  <si>
    <t>36604003</t>
  </si>
  <si>
    <t>Chaghmalai</t>
  </si>
  <si>
    <t>36604001</t>
  </si>
  <si>
    <t>Gurgurai</t>
  </si>
  <si>
    <t>36604004</t>
  </si>
  <si>
    <t>Madi Jan</t>
  </si>
  <si>
    <t>36604006</t>
  </si>
  <si>
    <t>36604005</t>
  </si>
  <si>
    <t>Shahoor</t>
  </si>
  <si>
    <t>36604002</t>
  </si>
  <si>
    <t>Shaktoi</t>
  </si>
  <si>
    <t>Bobar</t>
  </si>
  <si>
    <t>36605002</t>
  </si>
  <si>
    <t>Shaga Zadrana</t>
  </si>
  <si>
    <t>36605003</t>
  </si>
  <si>
    <t>36605001</t>
  </si>
  <si>
    <t>Shawal</t>
  </si>
  <si>
    <t>36606001</t>
  </si>
  <si>
    <t>Wacha Dara</t>
  </si>
  <si>
    <t>36606002</t>
  </si>
  <si>
    <t>Tiarza</t>
  </si>
  <si>
    <t>Tiarza Lower</t>
  </si>
  <si>
    <t>36607002</t>
  </si>
  <si>
    <t>Tiarza Upper</t>
  </si>
  <si>
    <t>36607001</t>
  </si>
  <si>
    <t>PESHAWAR</t>
  </si>
  <si>
    <t>KHYBER</t>
  </si>
  <si>
    <t>BARA</t>
  </si>
  <si>
    <t>ABDULLAH JAN</t>
  </si>
  <si>
    <t>33401102</t>
  </si>
  <si>
    <t>AJAB TALAB</t>
  </si>
  <si>
    <t>33401103</t>
  </si>
  <si>
    <t>AKAKHEL MAIRA</t>
  </si>
  <si>
    <t>33401104</t>
  </si>
  <si>
    <t>FORT SLOPE</t>
  </si>
  <si>
    <t>33401105</t>
  </si>
  <si>
    <t>GANDAO</t>
  </si>
  <si>
    <t>33401106</t>
  </si>
  <si>
    <t>JANBAZ A</t>
  </si>
  <si>
    <t>33401107</t>
  </si>
  <si>
    <t>JANBAZ B</t>
  </si>
  <si>
    <t>33401108</t>
  </si>
  <si>
    <t>MANDI KAS</t>
  </si>
  <si>
    <t>33401111</t>
  </si>
  <si>
    <t>MASTAK</t>
  </si>
  <si>
    <t>33401112</t>
  </si>
  <si>
    <t>MILWARD A</t>
  </si>
  <si>
    <t>33401113</t>
  </si>
  <si>
    <t>MILWARD B</t>
  </si>
  <si>
    <t>33401114</t>
  </si>
  <si>
    <t>NOGAZI BABA</t>
  </si>
  <si>
    <t>33401116</t>
  </si>
  <si>
    <t>SHALOBAR</t>
  </si>
  <si>
    <t>33401119</t>
  </si>
  <si>
    <t>SPEEN QABAR</t>
  </si>
  <si>
    <t>33401121</t>
  </si>
  <si>
    <t>SRA CHEENA</t>
  </si>
  <si>
    <t>33401122</t>
  </si>
  <si>
    <t>TAUDA CHEENA</t>
  </si>
  <si>
    <t>33401123</t>
  </si>
  <si>
    <t>JAMRUD</t>
  </si>
  <si>
    <t>ALI MASJID A</t>
  </si>
  <si>
    <t>33402070</t>
  </si>
  <si>
    <t>ALI MASJID B</t>
  </si>
  <si>
    <t>33402071</t>
  </si>
  <si>
    <t>CHAPARI</t>
  </si>
  <si>
    <t>33402072</t>
  </si>
  <si>
    <t>GHUNDI A</t>
  </si>
  <si>
    <t>33402073</t>
  </si>
  <si>
    <t>GHUNDI B</t>
  </si>
  <si>
    <t>33402074</t>
  </si>
  <si>
    <t>LOWARA MIANA</t>
  </si>
  <si>
    <t>33402075</t>
  </si>
  <si>
    <t>MIA MORCHA</t>
  </si>
  <si>
    <t>33402076</t>
  </si>
  <si>
    <t>NEW ABADI</t>
  </si>
  <si>
    <t>33402077</t>
  </si>
  <si>
    <t>PAINDI LALMA</t>
  </si>
  <si>
    <t>33402079</t>
  </si>
  <si>
    <t>SHAH KAS A</t>
  </si>
  <si>
    <t>33402081</t>
  </si>
  <si>
    <t>SHAH KAS B</t>
  </si>
  <si>
    <t>33402082</t>
  </si>
  <si>
    <t>SUR KAMAR</t>
  </si>
  <si>
    <t>33402083</t>
  </si>
  <si>
    <t>TIDI BAZAR</t>
  </si>
  <si>
    <t>33402084</t>
  </si>
  <si>
    <t>LANDI KOTAL</t>
  </si>
  <si>
    <t>KAM SHALMAN</t>
  </si>
  <si>
    <t>33404064</t>
  </si>
  <si>
    <t>KARAMNA</t>
  </si>
  <si>
    <t>33404065</t>
  </si>
  <si>
    <t>KHUGA KHEL</t>
  </si>
  <si>
    <t>33404066</t>
  </si>
  <si>
    <t>LOE SHALMAN A</t>
  </si>
  <si>
    <t>33404067</t>
  </si>
  <si>
    <t>LOE SHALMAN B</t>
  </si>
  <si>
    <t>33404068</t>
  </si>
  <si>
    <t>MIRDAD KHEL</t>
  </si>
  <si>
    <t>33404069</t>
  </si>
  <si>
    <t>PIROKHEL</t>
  </si>
  <si>
    <t>33404070</t>
  </si>
  <si>
    <t>SHEIKHMAL KHEL</t>
  </si>
  <si>
    <t>33404071</t>
  </si>
  <si>
    <t>STATION</t>
  </si>
  <si>
    <t>33404072</t>
  </si>
  <si>
    <t>SULTAN KHEL A</t>
  </si>
  <si>
    <t>33404073</t>
  </si>
  <si>
    <t>SULTAN KHEL B</t>
  </si>
  <si>
    <t>33404074</t>
  </si>
  <si>
    <t>TIRAH BAZAR A</t>
  </si>
  <si>
    <t>33404075</t>
  </si>
  <si>
    <t>TIRAH BAZAR B</t>
  </si>
  <si>
    <t>33404076</t>
  </si>
  <si>
    <t>TORA WELA</t>
  </si>
  <si>
    <t>33404077</t>
  </si>
  <si>
    <t>TORKHAM</t>
  </si>
  <si>
    <t>33404078</t>
  </si>
  <si>
    <t>TIRAH MAIDAN</t>
  </si>
  <si>
    <t>MALAKDIN KHEL A TIRAH</t>
  </si>
  <si>
    <t>33405001</t>
  </si>
  <si>
    <t>MALAKDIN KHEL B TIRAH</t>
  </si>
  <si>
    <t>33405002</t>
  </si>
  <si>
    <t>NAKAY</t>
  </si>
  <si>
    <t>33405003</t>
  </si>
  <si>
    <t>PAGDARA</t>
  </si>
  <si>
    <t>33405009</t>
  </si>
  <si>
    <t>QAMBAR KHEL A TIRAH</t>
  </si>
  <si>
    <t>33405004</t>
  </si>
  <si>
    <t>QAMBAR KHEL B TIRAH</t>
  </si>
  <si>
    <t>33405005</t>
  </si>
  <si>
    <t>Seray</t>
  </si>
  <si>
    <t>33405008</t>
  </si>
  <si>
    <t>SHALOBAR TIRAH</t>
  </si>
  <si>
    <t>33405006</t>
  </si>
  <si>
    <t>ZAKHAKHEL TIRAH</t>
  </si>
  <si>
    <t>33405007</t>
  </si>
  <si>
    <t>CITY</t>
  </si>
  <si>
    <t>ANDERSHEHER</t>
  </si>
  <si>
    <t>33004001</t>
  </si>
  <si>
    <t>ASIA DABGARI</t>
  </si>
  <si>
    <t>33004002</t>
  </si>
  <si>
    <t>CANTT WARD 1</t>
  </si>
  <si>
    <t>33004003</t>
  </si>
  <si>
    <t>CANTT WARD 2</t>
  </si>
  <si>
    <t>33004004</t>
  </si>
  <si>
    <t>CANTT WARD 3</t>
  </si>
  <si>
    <t>33004005</t>
  </si>
  <si>
    <t>CANTT WARD 4</t>
  </si>
  <si>
    <t>33004006</t>
  </si>
  <si>
    <t>FAQIR ABAD</t>
  </si>
  <si>
    <t>33004007</t>
  </si>
  <si>
    <t>GULBAHAR</t>
  </si>
  <si>
    <t>33004008</t>
  </si>
  <si>
    <t>GUNJ</t>
  </si>
  <si>
    <t>33004009</t>
  </si>
  <si>
    <t>HASAN GARHI 1</t>
  </si>
  <si>
    <t>33004010</t>
  </si>
  <si>
    <t>HASAN GARHI 2</t>
  </si>
  <si>
    <t>33004011</t>
  </si>
  <si>
    <t>HAYAT ABAD 1</t>
  </si>
  <si>
    <t>33004012</t>
  </si>
  <si>
    <t>HAYAT ABAD 2</t>
  </si>
  <si>
    <t>33004013</t>
  </si>
  <si>
    <t>JEHANGIR PURA</t>
  </si>
  <si>
    <t>33004014</t>
  </si>
  <si>
    <t>KAKSHAL</t>
  </si>
  <si>
    <t>33004015</t>
  </si>
  <si>
    <t>KARIM PURA</t>
  </si>
  <si>
    <t>33004016</t>
  </si>
  <si>
    <t>KHALSA 1</t>
  </si>
  <si>
    <t>33004017</t>
  </si>
  <si>
    <t>KHALSA 2</t>
  </si>
  <si>
    <t>33004018</t>
  </si>
  <si>
    <t>LAHORI</t>
  </si>
  <si>
    <t>33004019</t>
  </si>
  <si>
    <t>MALAKANDHER</t>
  </si>
  <si>
    <t>33004020</t>
  </si>
  <si>
    <t>MEHAL TERAI 1</t>
  </si>
  <si>
    <t>33004021</t>
  </si>
  <si>
    <t>MEHAL TERAI 2</t>
  </si>
  <si>
    <t>33004022</t>
  </si>
  <si>
    <t>PALOSI</t>
  </si>
  <si>
    <t>33004023</t>
  </si>
  <si>
    <t>PAWAKA</t>
  </si>
  <si>
    <t>33004024</t>
  </si>
  <si>
    <t>REGI</t>
  </si>
  <si>
    <t>33004025</t>
  </si>
  <si>
    <t>SHAHEEN TOWN</t>
  </si>
  <si>
    <t>33004026</t>
  </si>
  <si>
    <t>SHAHI BAGH</t>
  </si>
  <si>
    <t>33004027</t>
  </si>
  <si>
    <t>SIKANDAR TOWN</t>
  </si>
  <si>
    <t>33004028</t>
  </si>
  <si>
    <t>SUFAID DHERI</t>
  </si>
  <si>
    <t>33004029</t>
  </si>
  <si>
    <t>TEHKAL BALA</t>
  </si>
  <si>
    <t>33004030</t>
  </si>
  <si>
    <t>TEHKAL PAYAN</t>
  </si>
  <si>
    <t>33004031</t>
  </si>
  <si>
    <t>TEHKAL PAYAN 2 IRRIG</t>
  </si>
  <si>
    <t>33004032</t>
  </si>
  <si>
    <t>UNIVERSITY TOWN</t>
  </si>
  <si>
    <t>33004033</t>
  </si>
  <si>
    <t>HASSAN KHEL</t>
  </si>
  <si>
    <t>BARKI</t>
  </si>
  <si>
    <t>33003003</t>
  </si>
  <si>
    <t>BORA</t>
  </si>
  <si>
    <t>33003004</t>
  </si>
  <si>
    <t>FARIDI</t>
  </si>
  <si>
    <t>33003001</t>
  </si>
  <si>
    <t>33003005</t>
  </si>
  <si>
    <t>KOHI</t>
  </si>
  <si>
    <t>33003006</t>
  </si>
  <si>
    <t>MANDAI</t>
  </si>
  <si>
    <t>33003002</t>
  </si>
  <si>
    <t>MATTANI</t>
  </si>
  <si>
    <t>ACHINI</t>
  </si>
  <si>
    <t>33005001</t>
  </si>
  <si>
    <t>BAZID KHEL</t>
  </si>
  <si>
    <t>33005002</t>
  </si>
  <si>
    <t>MASHOGAGAR</t>
  </si>
  <si>
    <t>33005003</t>
  </si>
  <si>
    <t>33005004</t>
  </si>
  <si>
    <t>PISHTAKHARA</t>
  </si>
  <si>
    <t>33005005</t>
  </si>
  <si>
    <t>SARBAND</t>
  </si>
  <si>
    <t>33005006</t>
  </si>
  <si>
    <t>SHEIKHAN</t>
  </si>
  <si>
    <t>33005008</t>
  </si>
  <si>
    <t>SHEIKH MOHAMMADI</t>
  </si>
  <si>
    <t>33005007</t>
  </si>
  <si>
    <t>SULEMAN KHEIL</t>
  </si>
  <si>
    <t>33005009</t>
  </si>
  <si>
    <t>SADDAR</t>
  </si>
  <si>
    <t>ADEZAI</t>
  </si>
  <si>
    <t>33006001</t>
  </si>
  <si>
    <t>AZAKHEL TELABAND</t>
  </si>
  <si>
    <t>33006002</t>
  </si>
  <si>
    <t>BADABER HUREZAI</t>
  </si>
  <si>
    <t>33006003</t>
  </si>
  <si>
    <t>BADABER MARYAMZAI</t>
  </si>
  <si>
    <t>33006004</t>
  </si>
  <si>
    <t>CHAMKANI</t>
  </si>
  <si>
    <t>33006005</t>
  </si>
  <si>
    <t>MARYAM ZAI</t>
  </si>
  <si>
    <t>33006006</t>
  </si>
  <si>
    <t>MERA KACHORI</t>
  </si>
  <si>
    <t>33006007</t>
  </si>
  <si>
    <t>MERA SUREZAI PAYAN</t>
  </si>
  <si>
    <t>33006008</t>
  </si>
  <si>
    <t>33006009</t>
  </si>
  <si>
    <t>SHERAKERA</t>
  </si>
  <si>
    <t>33006010</t>
  </si>
  <si>
    <t>SUREZAI BALA</t>
  </si>
  <si>
    <t>33006011</t>
  </si>
  <si>
    <t>SUREZAI PAYAN</t>
  </si>
  <si>
    <t>33006012</t>
  </si>
  <si>
    <t>URMAR BALA</t>
  </si>
  <si>
    <t>33006013</t>
  </si>
  <si>
    <t>URMAR MIANA</t>
  </si>
  <si>
    <t>33006014</t>
  </si>
  <si>
    <t>URMAR PAYAN</t>
  </si>
  <si>
    <t>33006015</t>
  </si>
  <si>
    <t>SHAH ALAM</t>
  </si>
  <si>
    <t>BUDHNI</t>
  </si>
  <si>
    <t>33007001</t>
  </si>
  <si>
    <t>CHAGARMATI</t>
  </si>
  <si>
    <t>33007002</t>
  </si>
  <si>
    <t>DAG</t>
  </si>
  <si>
    <t>33007003</t>
  </si>
  <si>
    <t>GARHI SHER DAD</t>
  </si>
  <si>
    <t>33007004</t>
  </si>
  <si>
    <t>GULBELA</t>
  </si>
  <si>
    <t>33007005</t>
  </si>
  <si>
    <t>HARYANA PAYAN</t>
  </si>
  <si>
    <t>33007006</t>
  </si>
  <si>
    <t>JOGANI</t>
  </si>
  <si>
    <t>33007007</t>
  </si>
  <si>
    <t>KAFOOR DHERI</t>
  </si>
  <si>
    <t>33007008</t>
  </si>
  <si>
    <t>KANIZA</t>
  </si>
  <si>
    <t>33007009</t>
  </si>
  <si>
    <t>KANKOLA</t>
  </si>
  <si>
    <t>33007010</t>
  </si>
  <si>
    <t>KHAZANA</t>
  </si>
  <si>
    <t>33007011</t>
  </si>
  <si>
    <t>LALA KALAY</t>
  </si>
  <si>
    <t>33007012</t>
  </si>
  <si>
    <t>LARAMA</t>
  </si>
  <si>
    <t>33007013</t>
  </si>
  <si>
    <t>MATHRA</t>
  </si>
  <si>
    <t>33007014</t>
  </si>
  <si>
    <t>NAHAQI</t>
  </si>
  <si>
    <t>33007015</t>
  </si>
  <si>
    <t>PAJAGI</t>
  </si>
  <si>
    <t>33007016</t>
  </si>
  <si>
    <t>PAKHA GHULAM</t>
  </si>
  <si>
    <t>33007017</t>
  </si>
  <si>
    <t>PANAM DHERI</t>
  </si>
  <si>
    <t>33007018</t>
  </si>
  <si>
    <t>SAEEDABAD</t>
  </si>
  <si>
    <t>33007019</t>
  </si>
  <si>
    <t>SHAHI BALA</t>
  </si>
  <si>
    <t>33007020</t>
  </si>
  <si>
    <t>TUKHTABAD</t>
  </si>
  <si>
    <t>33007021</t>
  </si>
  <si>
    <t>WADPAGA</t>
  </si>
  <si>
    <t>33007022</t>
  </si>
  <si>
    <t>SMT</t>
  </si>
  <si>
    <t>AKHOON ABAD</t>
  </si>
  <si>
    <t>33008001</t>
  </si>
  <si>
    <t>BHANA MARI</t>
  </si>
  <si>
    <t>33008002</t>
  </si>
  <si>
    <t>CANTT WARD 5</t>
  </si>
  <si>
    <t>33008003</t>
  </si>
  <si>
    <t>DEH BAHADAR</t>
  </si>
  <si>
    <t>33008004</t>
  </si>
  <si>
    <t>DERI BAGHBANAN</t>
  </si>
  <si>
    <t>33008005</t>
  </si>
  <si>
    <t>HAZARKHWANI 1</t>
  </si>
  <si>
    <t>33008006</t>
  </si>
  <si>
    <t>HAZARKHWANI 2</t>
  </si>
  <si>
    <t>33008007</t>
  </si>
  <si>
    <t>KAKSHAL 2</t>
  </si>
  <si>
    <t>33008008</t>
  </si>
  <si>
    <t>LANDI ARBAB</t>
  </si>
  <si>
    <t>33008009</t>
  </si>
  <si>
    <t>NOTHIA JADEED</t>
  </si>
  <si>
    <t>33008010</t>
  </si>
  <si>
    <t>NOTHIA QADEEM</t>
  </si>
  <si>
    <t>33008011</t>
  </si>
  <si>
    <t>SHAHEEN MUSLIM TWN1</t>
  </si>
  <si>
    <t>33008012</t>
  </si>
  <si>
    <t>SHAHEEN MUSLIM TWN2</t>
  </si>
  <si>
    <t>33008013</t>
  </si>
  <si>
    <t>SHEIKH JUNAID ABAD</t>
  </si>
  <si>
    <t>33008014</t>
  </si>
  <si>
    <t>WAZIR BAGH</t>
  </si>
  <si>
    <t>33008015</t>
  </si>
  <si>
    <t>YAKATOOT 1</t>
  </si>
  <si>
    <t>33008016</t>
  </si>
  <si>
    <t>YAKATOOT 2</t>
  </si>
  <si>
    <t>33008017</t>
  </si>
  <si>
    <t>YAKATOOT 3</t>
  </si>
  <si>
    <t>33008018</t>
  </si>
  <si>
    <t>Zero Dose Digitization – Follow-up List (all districts)</t>
  </si>
  <si>
    <t>SNID Sept 2026 · 124 UCs needing follow-up · IDIMS comparison report of 09-Oct-2026 · Trend vs SNID May 2026 (22-Jun-2026) · Green columns are for district teams to fill in</t>
  </si>
  <si>
    <t>Priority</t>
  </si>
  <si>
    <t>Children to enter</t>
  </si>
  <si>
    <t>Excess entries</t>
  </si>
  <si>
    <t>Action required</t>
  </si>
  <si>
    <t>Responsible person</t>
  </si>
  <si>
    <t>Target date</t>
  </si>
  <si>
    <t>Status</t>
  </si>
  <si>
    <t>Remarks</t>
  </si>
  <si>
    <t>No linelist entries yet. Confirm a data-entry person is assigned and start entry. Was on track in May: check that data-entry staff are in place.</t>
  </si>
  <si>
    <t>Not started</t>
  </si>
  <si>
    <t>No linelist entries yet. Confirm a data-entry person is assigned and start entry. Low in May too: repeat problem, escalate to district.</t>
  </si>
  <si>
    <t>Entries exceed the IDIMS figure by more than 10%. Check for duplicate entries and cross-check the IDIMS number.</t>
  </si>
  <si>
    <t>Complete the remaining linelist entries. Was on track in May: check that data-entry staff are in place.</t>
  </si>
  <si>
    <t>Complete the remaining linelist entries. Low in May too: repeat problem, escalate to district.</t>
  </si>
  <si>
    <t>Complete the remaining linelist entries. Also remove 3 duplicate record(s). Low in May too: repeat problem, escalate to district.</t>
  </si>
  <si>
    <t>Less than half entered. Complete the remaining linelist entries. Was on track in May: check that data-entry staff are in place.</t>
  </si>
  <si>
    <t>Less than half entered. Complete the remaining linelist entries. Low in May too: repeat problem, escalate to district.</t>
  </si>
  <si>
    <t>Duplicate records flagged in the report. Review and remove duplicates.</t>
  </si>
  <si>
    <t>n/a</t>
  </si>
  <si>
    <t>Linelist has entries but IDIMS reports 0 ZDs. Verify IDIMS reporting for this UC.</t>
  </si>
  <si>
    <t>No linelist entries yet. Confirm a data-entry person is assigned and start entry.</t>
  </si>
  <si>
    <t>BANNU – Zero Dose Linelist Follow-up (SNID Sept 2026)</t>
  </si>
  <si>
    <t>District completion 3,747 of 4,205 = 89.1% · 23 of 57 UCs need follow-up · 748 children still to enter · 5 persistent low since May · Please fill the green columns and return</t>
  </si>
  <si>
    <t>DIKHAN – Zero Dose Linelist Follow-up (SNID Sept 2026)</t>
  </si>
  <si>
    <t>District completion 5,010 of 5,284 = 94.8% · 12 of 53 UCs need follow-up · 247 children still to enter · 3 persistent low since May · Please fill the green columns and return</t>
  </si>
  <si>
    <t>KHYBER – Zero Dose Linelist Follow-up (SNID Sept 2026)</t>
  </si>
  <si>
    <t>District completion 1,863 of 1,850 = 100.7% · 9 of 53 UCs need follow-up · 35 children still to enter · 0 persistent low since May · Please fill the green columns and return</t>
  </si>
  <si>
    <t>LAKKIMRWT – Zero Dose Linelist Follow-up (SNID Sept 2026)</t>
  </si>
  <si>
    <t>District completion 4,560 of 4,555 = 100.1% · 10 of 40 UCs need follow-up · 139 children still to enter · 0 persistent low since May · Please fill the green columns and return</t>
  </si>
  <si>
    <t>PESHAWAR – Zero Dose Linelist Follow-up (SNID Sept 2026)</t>
  </si>
  <si>
    <t>District completion 12,681 of 13,547 = 93.6% · 16 of 103 UCs need follow-up · 1,010 children still to enter · 9 persistent low since May · Please fill the green columns and return</t>
  </si>
  <si>
    <t>TANK – Zero Dose Linelist Follow-up (SNID Sept 2026)</t>
  </si>
  <si>
    <t>District completion 871 of 967 = 90.1% · 7 of 22 UCs need follow-up · 150 children still to enter · 0 persistent low since May · Please fill the green columns and return</t>
  </si>
  <si>
    <t>WAZIR-N – Zero Dose Linelist Follow-up (SNID Sept 2026)</t>
  </si>
  <si>
    <t>District completion 537 of 492 = 109.1% · 15 of 23 UCs need follow-up · 155 children still to enter · 0 persistent low since May · Please fill the green columns and return</t>
  </si>
  <si>
    <t>WAZIR-S Lower – Zero Dose Linelist Follow-up (SNID Sept 2026)</t>
  </si>
  <si>
    <t>District completion 517 of 572 = 90.4% · 20 of 36 UCs need follow-up · 112 children still to enter · 2 persistent low since May · Please fill the green columns and return</t>
  </si>
  <si>
    <t>WAZIR-S Upper – Zero Dose Linelist Follow-up (SNID Sept 2026)</t>
  </si>
  <si>
    <t>District completion 346 of 290 = 119.3% · 12 of 34 UCs need follow-up · 15 children still to enter · 1 persistent low since May · Please fill the green columns and return</t>
  </si>
  <si>
    <t>Zero Dose Digitization – District Follow-up Summary</t>
  </si>
  <si>
    <t>SNID Sept 2026 · IDIMS comparison report of 09-Oct-2026 · compared with SNID May 2026 (22-Jun-2026) · generated 09-Oct-2026 17:43</t>
  </si>
  <si>
    <t>UCs</t>
  </si>
  <si>
    <t>P1 No entries</t>
  </si>
  <si>
    <t>P2 Critical</t>
  </si>
  <si>
    <t>P3 Verify</t>
  </si>
  <si>
    <t>P4 Low</t>
  </si>
  <si>
    <t>Total follow-ups</t>
  </si>
  <si>
    <t>Done (from status)</t>
  </si>
  <si>
    <t>Total</t>
  </si>
  <si>
    <t>Priority key and action</t>
  </si>
  <si>
    <t>Rule</t>
  </si>
  <si>
    <t>Action for district team</t>
  </si>
  <si>
    <t>IDIMS reported &gt; 0 but linelist entries = 0</t>
  </si>
  <si>
    <t>Completion below 50%</t>
  </si>
  <si>
    <t>Less than half entered. Complete the remaining linelist entries.</t>
  </si>
  <si>
    <t>Completion above 110%</t>
  </si>
  <si>
    <t>IDIMS = 0 but linelist has entries</t>
  </si>
  <si>
    <t>Duplicate records flagged (UC otherwise on track)</t>
  </si>
  <si>
    <t>Completion 50–80%</t>
  </si>
  <si>
    <t>Complete the remaining linelist entries.</t>
  </si>
  <si>
    <t>How to use: each district sheet lists only that district's UCs needing follow-up, sorted by priority then by children still to enter.</t>
  </si>
  <si>
    <t>District teams fill in the green columns (Responsible person, Target date, Status, Remarks). "Done" counts update on this Summary automatically.</t>
  </si>
  <si>
    <t>UCs at 80–110% with no duplicates are on track and are not listed; see the All UCs sheet for the full list.</t>
  </si>
  <si>
    <t>Trend compares with SNID May 2026 (report of 22-Jun-2026) using the 80% line: Persistent low = below 80% in both; Newly declined = 80%+ then, below 80% now; Recovered = below 80% then, 80%+ now; Not comparable = IDIMS reported 0 in either campaign.</t>
  </si>
  <si>
    <t>Persistent Low UCs – below 80% in both SNID May 2026 and SNID Sept 2026</t>
  </si>
  <si>
    <t>20 UCs · 1,225 children still to enter · Sorted by children still to enter · These need a district-level fix, not routine reminders</t>
  </si>
  <si>
    <t>Sept ZD Reported</t>
  </si>
  <si>
    <t>Sept ZD Linelist</t>
  </si>
  <si>
    <t>Sept completion %</t>
  </si>
  <si>
    <t>Sept priority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</si>
</sst>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+0.0;-0.0;0.0"/>
    <numFmt numFmtId="167" formatCode="dd-mmm-yyyy"/>
  </numFmts>
  <fonts count="8">
    <font>
      <sz val="11"/>
      <color theme="1"/>
      <name val="Calibri"/>
      <family val="2"/>
      <scheme val="minor"/>
    </font>
    <font>
      <b/>
      <sz val="15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0"/>
      <color rgb="FF40404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8E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165" fontId="4" fillId="0" borderId="2" xfId="0" applyNumberFormat="1" applyFont="1" applyBorder="1" applyAlignment="1">
      <alignment vertical="top"/>
    </xf>
    <xf numFmtId="166" fontId="4" fillId="0" borderId="2" xfId="0" applyNumberFormat="1" applyFont="1" applyBorder="1" applyAlignment="1">
      <alignment vertical="top"/>
    </xf>
    <xf numFmtId="0" fontId="5" fillId="4" borderId="2" xfId="0" applyFont="1" applyFill="1" applyBorder="1" applyAlignment="1">
      <alignment vertical="top"/>
    </xf>
    <xf numFmtId="164" fontId="5" fillId="4" borderId="2" xfId="0" applyNumberFormat="1" applyFont="1" applyFill="1" applyBorder="1" applyAlignment="1">
      <alignment vertical="top"/>
    </xf>
    <xf numFmtId="165" fontId="5" fillId="4" borderId="2" xfId="0" applyNumberFormat="1" applyFont="1" applyFill="1" applyBorder="1" applyAlignment="1">
      <alignment vertical="top"/>
    </xf>
    <xf numFmtId="166" fontId="5" fillId="4" borderId="2" xfId="0" applyNumberFormat="1" applyFont="1" applyFill="1" applyBorder="1" applyAlignment="1">
      <alignment vertical="top"/>
    </xf>
    <xf numFmtId="0" fontId="6" fillId="0" borderId="0" xfId="0" applyFont="1"/>
    <xf numFmtId="0" fontId="4" fillId="0" borderId="2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4" fillId="5" borderId="2" xfId="0" applyFont="1" applyFill="1" applyBorder="1" applyAlignment="1">
      <alignment vertical="top"/>
    </xf>
    <xf numFmtId="167" fontId="4" fillId="5" borderId="2" xfId="0" applyNumberFormat="1" applyFont="1" applyFill="1" applyBorder="1" applyAlignment="1">
      <alignment vertical="top"/>
    </xf>
  </cellXfs>
  <cellStyles count="1">
    <cellStyle name="Normal" xfId="0" builtinId="0"/>
  </cellStyles>
  <dxfs count="10">
    <dxf>
      <font>
        <b/>
        <color rgb="FF9C0006"/>
      </font>
      <fill>
        <patternFill>
          <bgColor rgb="FFF8CBAD"/>
        </patternFill>
      </fill>
    </dxf>
    <dxf>
      <font>
        <b/>
        <color rgb="FFC65911"/>
      </font>
      <fill>
        <patternFill>
          <bgColor rgb="FFFCE4D6"/>
        </patternFill>
      </fill>
    </dxf>
    <dxf>
      <font>
        <b/>
        <color rgb="FF5B2C83"/>
      </font>
      <fill>
        <patternFill>
          <bgColor rgb="FFE4DFE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7F6000"/>
      </font>
      <fill>
        <patternFill>
          <bgColor rgb="FFFFE6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</dxf>
    <dxf>
      <font>
        <b/>
        <color rgb="FF0061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Children still to enter, by district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Children still to enter</c:v>
          </c:tx>
          <c:spPr>
            <a:solidFill>
              <a:srgbClr val="C55A11"/>
            </a:solidFill>
          </c:spPr>
          <c:dLbls>
            <c:showVal val="1"/>
          </c:dLbls>
          <c:cat>
            <c:strRef>
              <c:f>Summary!$A$5:$A$13</c:f>
              <c:strCache>
                <c:ptCount val="9"/>
                <c:pt idx="0">
                  <c:v>BANNU</c:v>
                </c:pt>
                <c:pt idx="1">
                  <c:v>TANK</c:v>
                </c:pt>
                <c:pt idx="2">
                  <c:v>WAZIR-S Lower</c:v>
                </c:pt>
                <c:pt idx="3">
                  <c:v>PESHAWAR</c:v>
                </c:pt>
                <c:pt idx="4">
                  <c:v>DIKHAN</c:v>
                </c:pt>
                <c:pt idx="5">
                  <c:v>LAKKIMRWT</c:v>
                </c:pt>
                <c:pt idx="6">
                  <c:v>KHYBER</c:v>
                </c:pt>
                <c:pt idx="7">
                  <c:v>WAZIR-N</c:v>
                </c:pt>
                <c:pt idx="8">
                  <c:v>WAZIR-S Upper</c:v>
                </c:pt>
              </c:strCache>
            </c:strRef>
          </c:cat>
          <c:val>
            <c:numRef>
              <c:f>Summary!$F$5:$F$13</c:f>
              <c:numCache>
                <c:formatCode>General</c:formatCode>
                <c:ptCount val="9"/>
                <c:pt idx="0">
                  <c:v>748</c:v>
                </c:pt>
                <c:pt idx="1">
                  <c:v>150</c:v>
                </c:pt>
                <c:pt idx="2">
                  <c:v>112</c:v>
                </c:pt>
                <c:pt idx="3">
                  <c:v>1010</c:v>
                </c:pt>
                <c:pt idx="4">
                  <c:v>247</c:v>
                </c:pt>
                <c:pt idx="5">
                  <c:v>139</c:v>
                </c:pt>
                <c:pt idx="6">
                  <c:v>35</c:v>
                </c:pt>
                <c:pt idx="7">
                  <c:v>155</c:v>
                </c:pt>
                <c:pt idx="8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Children (count)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Completion %: May vs Sept, by district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May completion %</c:v>
          </c:tx>
          <c:spPr>
            <a:solidFill>
              <a:srgbClr val="A6A6A6"/>
            </a:solidFill>
          </c:spPr>
          <c:cat>
            <c:strRef>
              <c:f>Summary!$A$5:$A$13</c:f>
              <c:strCache>
                <c:ptCount val="9"/>
                <c:pt idx="0">
                  <c:v>BANNU</c:v>
                </c:pt>
                <c:pt idx="1">
                  <c:v>TANK</c:v>
                </c:pt>
                <c:pt idx="2">
                  <c:v>WAZIR-S Lower</c:v>
                </c:pt>
                <c:pt idx="3">
                  <c:v>PESHAWAR</c:v>
                </c:pt>
                <c:pt idx="4">
                  <c:v>DIKHAN</c:v>
                </c:pt>
                <c:pt idx="5">
                  <c:v>LAKKIMRWT</c:v>
                </c:pt>
                <c:pt idx="6">
                  <c:v>KHYBER</c:v>
                </c:pt>
                <c:pt idx="7">
                  <c:v>WAZIR-N</c:v>
                </c:pt>
                <c:pt idx="8">
                  <c:v>WAZIR-S Upper</c:v>
                </c:pt>
              </c:strCache>
            </c:strRef>
          </c:cat>
          <c:val>
            <c:numRef>
              <c:f>Summary!$M$5:$M$13</c:f>
              <c:numCache>
                <c:formatCode>General</c:formatCode>
                <c:ptCount val="9"/>
                <c:pt idx="0">
                  <c:v>0.7413502109704642</c:v>
                </c:pt>
                <c:pt idx="1">
                  <c:v>0.9784172661870504</c:v>
                </c:pt>
                <c:pt idx="2">
                  <c:v>0.9942528735632183</c:v>
                </c:pt>
                <c:pt idx="3">
                  <c:v>0.47366846199880314</c:v>
                </c:pt>
                <c:pt idx="4">
                  <c:v>0.8984865263935032</c:v>
                </c:pt>
                <c:pt idx="5">
                  <c:v>1.0</c:v>
                </c:pt>
                <c:pt idx="6">
                  <c:v>0.9212765957446808</c:v>
                </c:pt>
                <c:pt idx="7">
                  <c:v>1.0</c:v>
                </c:pt>
                <c:pt idx="8">
                  <c:v>0.14285714285714285</c:v>
                </c:pt>
              </c:numCache>
            </c:numRef>
          </c:val>
        </c:ser>
        <c:ser>
          <c:idx val="1"/>
          <c:order val="1"/>
          <c:tx>
            <c:v>Completion %</c:v>
          </c:tx>
          <c:spPr>
            <a:solidFill>
              <a:srgbClr val="1F3864"/>
            </a:solidFill>
          </c:spPr>
          <c:dLbls>
            <c:numFmt formatCode="0%" sourceLinked="0"/>
            <c:showVal val="1"/>
          </c:dLbls>
          <c:cat>
            <c:strRef>
              <c:f>Summary!$A$5:$A$13</c:f>
              <c:strCache>
                <c:ptCount val="9"/>
                <c:pt idx="0">
                  <c:v>BANNU</c:v>
                </c:pt>
                <c:pt idx="1">
                  <c:v>TANK</c:v>
                </c:pt>
                <c:pt idx="2">
                  <c:v>WAZIR-S Lower</c:v>
                </c:pt>
                <c:pt idx="3">
                  <c:v>PESHAWAR</c:v>
                </c:pt>
                <c:pt idx="4">
                  <c:v>DIKHAN</c:v>
                </c:pt>
                <c:pt idx="5">
                  <c:v>LAKKIMRWT</c:v>
                </c:pt>
                <c:pt idx="6">
                  <c:v>KHYBER</c:v>
                </c:pt>
                <c:pt idx="7">
                  <c:v>WAZIR-N</c:v>
                </c:pt>
                <c:pt idx="8">
                  <c:v>WAZIR-S Upper</c:v>
                </c:pt>
              </c:strCache>
            </c:strRef>
          </c:cat>
          <c:val>
            <c:numRef>
              <c:f>Summary!$E$5:$E$13</c:f>
              <c:numCache>
                <c:formatCode>General</c:formatCode>
                <c:ptCount val="9"/>
                <c:pt idx="0">
                  <c:v>0.8910820451843044</c:v>
                </c:pt>
                <c:pt idx="1">
                  <c:v>0.9007238883143743</c:v>
                </c:pt>
                <c:pt idx="2">
                  <c:v>0.9038461538461539</c:v>
                </c:pt>
                <c:pt idx="3">
                  <c:v>0.9360744076179227</c:v>
                </c:pt>
                <c:pt idx="4">
                  <c:v>0.9481453444360333</c:v>
                </c:pt>
                <c:pt idx="5">
                  <c:v>1.0010976948408343</c:v>
                </c:pt>
                <c:pt idx="6">
                  <c:v>1.007027027027027</c:v>
                </c:pt>
                <c:pt idx="7">
                  <c:v>1.0914634146341464</c:v>
                </c:pt>
                <c:pt idx="8">
                  <c:v>1.193103448275862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.1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Completion (%)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26</xdr:col>
      <xdr:colOff>76200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76200</xdr:colOff>
      <xdr:row>30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8"/>
  <sheetViews>
    <sheetView tabSelected="1" workbookViewId="0"/>
  </sheetViews>
  <sheetFormatPr defaultRowHeight="15" x14ac:dyDescent="0.25"/>
  <cols>
    <col min="1" max="1" width="16.7109375" customWidth="1"/>
    <col min="2" max="17" width="11.7109375" customWidth="1"/>
  </cols>
  <sheetData>
    <row r="1" spans="1:17" x14ac:dyDescent="0.25">
      <c r="A1" s="1" t="s">
        <v>949</v>
      </c>
    </row>
    <row r="2" spans="1:17" x14ac:dyDescent="0.25">
      <c r="A2" s="2" t="s">
        <v>950</v>
      </c>
    </row>
    <row r="4" spans="1:17" ht="32" customHeight="1" x14ac:dyDescent="0.25">
      <c r="A4" s="3" t="s">
        <v>1</v>
      </c>
      <c r="B4" s="3" t="s">
        <v>951</v>
      </c>
      <c r="C4" s="3" t="s">
        <v>5</v>
      </c>
      <c r="D4" s="3" t="s">
        <v>6</v>
      </c>
      <c r="E4" s="3" t="s">
        <v>7</v>
      </c>
      <c r="F4" s="3" t="s">
        <v>911</v>
      </c>
      <c r="G4" s="3" t="s">
        <v>952</v>
      </c>
      <c r="H4" s="3" t="s">
        <v>953</v>
      </c>
      <c r="I4" s="3" t="s">
        <v>954</v>
      </c>
      <c r="J4" s="3" t="s">
        <v>955</v>
      </c>
      <c r="K4" s="3" t="s">
        <v>956</v>
      </c>
      <c r="L4" s="3" t="s">
        <v>957</v>
      </c>
      <c r="M4" s="4" t="s">
        <v>12</v>
      </c>
      <c r="N4" s="4" t="s">
        <v>13</v>
      </c>
      <c r="O4" s="4" t="s">
        <v>46</v>
      </c>
      <c r="P4" s="4" t="s">
        <v>68</v>
      </c>
      <c r="Q4" s="4" t="s">
        <v>23</v>
      </c>
    </row>
    <row r="5" spans="1:17" x14ac:dyDescent="0.25">
      <c r="A5" s="5" t="s">
        <v>15</v>
      </c>
      <c r="B5" s="6">
        <f>COUNTIF('All UCs'!$B:$B,A5)</f>
        <v>57</v>
      </c>
      <c r="C5" s="6">
        <f>SUMIF('All UCs'!$B:$B,A5,'All UCs'!$F:$F)</f>
        <v>4205</v>
      </c>
      <c r="D5" s="6">
        <f>SUMIF('All UCs'!$B:$B,A5,'All UCs'!$G:$G)</f>
        <v>3747</v>
      </c>
      <c r="E5" s="7">
        <f>IF(C5&gt;0,D5/C5,0)</f>
        <v>0.8910820451843044</v>
      </c>
      <c r="F5" s="6">
        <f>SUMIF('All Follow-ups'!$A:$A,A5,'All Follow-ups'!$I:$I)</f>
        <v>748</v>
      </c>
      <c r="G5" s="6">
        <f>COUNTIFS('All Follow-ups'!$A:$A,A5,'All Follow-ups'!$B:$B,"P1*")</f>
        <v>4</v>
      </c>
      <c r="H5" s="6">
        <f>COUNTIFS('All Follow-ups'!$A:$A,A5,'All Follow-ups'!$B:$B,"P2*")</f>
        <v>0</v>
      </c>
      <c r="I5" s="6">
        <f>COUNTIFS('All Follow-ups'!$A:$A,A5,'All Follow-ups'!$B:$B,"P3*")</f>
        <v>9</v>
      </c>
      <c r="J5" s="6">
        <f>COUNTIFS('All Follow-ups'!$A:$A,A5,'All Follow-ups'!$B:$B,"P4*")</f>
        <v>10</v>
      </c>
      <c r="K5" s="6">
        <f>SUM(G5:J5)</f>
        <v>23</v>
      </c>
      <c r="L5" s="6">
        <f>COUNTIF('BANNU'!$O:$O,"Done")</f>
        <v>0</v>
      </c>
      <c r="M5" s="7">
        <f>IFERROR(SUMIF('All UCs'!$B:$B,A5,'All UCs'!$L:$L)/SUMIF('All UCs'!$B:$B,A5,'All UCs'!$K:$K),0)</f>
        <v>0.7413502109704642</v>
      </c>
      <c r="N5" s="8">
        <f>(E5-M5)*100</f>
        <v>14.973183421384022</v>
      </c>
      <c r="O5" s="6">
        <f>COUNTIFS('All UCs'!$B:$B,A5,'All UCs'!$O:$O,"Persistent low")</f>
        <v>5</v>
      </c>
      <c r="P5" s="6">
        <f>COUNTIFS('All UCs'!$B:$B,A5,'All UCs'!$O:$O,"Newly declined")</f>
        <v>9</v>
      </c>
      <c r="Q5" s="6">
        <f>COUNTIFS('All UCs'!$B:$B,A5,'All UCs'!$O:$O,"Recovered")</f>
        <v>14</v>
      </c>
    </row>
    <row r="6" spans="1:17" x14ac:dyDescent="0.25">
      <c r="A6" s="5" t="s">
        <v>394</v>
      </c>
      <c r="B6" s="6">
        <f>COUNTIF('All UCs'!$B:$B,A6)</f>
        <v>22</v>
      </c>
      <c r="C6" s="6">
        <f>SUMIF('All UCs'!$B:$B,A6,'All UCs'!$F:$F)</f>
        <v>967</v>
      </c>
      <c r="D6" s="6">
        <f>SUMIF('All UCs'!$B:$B,A6,'All UCs'!$G:$G)</f>
        <v>871</v>
      </c>
      <c r="E6" s="7">
        <f>IF(C6&gt;0,D6/C6,0)</f>
        <v>0.9007238883143743</v>
      </c>
      <c r="F6" s="6">
        <f>SUMIF('All Follow-ups'!$A:$A,A6,'All Follow-ups'!$I:$I)</f>
        <v>150</v>
      </c>
      <c r="G6" s="6">
        <f>COUNTIFS('All Follow-ups'!$A:$A,A6,'All Follow-ups'!$B:$B,"P1*")</f>
        <v>3</v>
      </c>
      <c r="H6" s="6">
        <f>COUNTIFS('All Follow-ups'!$A:$A,A6,'All Follow-ups'!$B:$B,"P2*")</f>
        <v>1</v>
      </c>
      <c r="I6" s="6">
        <f>COUNTIFS('All Follow-ups'!$A:$A,A6,'All Follow-ups'!$B:$B,"P3*")</f>
        <v>1</v>
      </c>
      <c r="J6" s="6">
        <f>COUNTIFS('All Follow-ups'!$A:$A,A6,'All Follow-ups'!$B:$B,"P4*")</f>
        <v>2</v>
      </c>
      <c r="K6" s="6">
        <f>SUM(G6:J6)</f>
        <v>7</v>
      </c>
      <c r="L6" s="6">
        <f>COUNTIF('TANK'!$O:$O,"Done")</f>
        <v>0</v>
      </c>
      <c r="M6" s="7">
        <f>IFERROR(SUMIF('All UCs'!$B:$B,A6,'All UCs'!$L:$L)/SUMIF('All UCs'!$B:$B,A6,'All UCs'!$K:$K),0)</f>
        <v>0.9784172661870504</v>
      </c>
      <c r="N6" s="8">
        <f>(E6-M6)*100</f>
        <v>-7.769337787267602</v>
      </c>
      <c r="O6" s="6">
        <f>COUNTIFS('All UCs'!$B:$B,A6,'All UCs'!$O:$O,"Persistent low")</f>
        <v>0</v>
      </c>
      <c r="P6" s="6">
        <f>COUNTIFS('All UCs'!$B:$B,A6,'All UCs'!$O:$O,"Newly declined")</f>
        <v>6</v>
      </c>
      <c r="Q6" s="6">
        <f>COUNTIFS('All UCs'!$B:$B,A6,'All UCs'!$O:$O,"Recovered")</f>
        <v>2</v>
      </c>
    </row>
    <row r="7" spans="1:17" x14ac:dyDescent="0.25">
      <c r="A7" s="5" t="s">
        <v>440</v>
      </c>
      <c r="B7" s="6">
        <f>COUNTIF('All UCs'!$B:$B,A7)</f>
        <v>36</v>
      </c>
      <c r="C7" s="6">
        <f>SUMIF('All UCs'!$B:$B,A7,'All UCs'!$F:$F)</f>
        <v>572</v>
      </c>
      <c r="D7" s="6">
        <f>SUMIF('All UCs'!$B:$B,A7,'All UCs'!$G:$G)</f>
        <v>517</v>
      </c>
      <c r="E7" s="7">
        <f>IF(C7&gt;0,D7/C7,0)</f>
        <v>0.9038461538461539</v>
      </c>
      <c r="F7" s="6">
        <f>SUMIF('All Follow-ups'!$A:$A,A7,'All Follow-ups'!$I:$I)</f>
        <v>112</v>
      </c>
      <c r="G7" s="6">
        <f>COUNTIFS('All Follow-ups'!$A:$A,A7,'All Follow-ups'!$B:$B,"P1*")</f>
        <v>6</v>
      </c>
      <c r="H7" s="6">
        <f>COUNTIFS('All Follow-ups'!$A:$A,A7,'All Follow-ups'!$B:$B,"P2*")</f>
        <v>0</v>
      </c>
      <c r="I7" s="6">
        <f>COUNTIFS('All Follow-ups'!$A:$A,A7,'All Follow-ups'!$B:$B,"P3*")</f>
        <v>11</v>
      </c>
      <c r="J7" s="6">
        <f>COUNTIFS('All Follow-ups'!$A:$A,A7,'All Follow-ups'!$B:$B,"P4*")</f>
        <v>3</v>
      </c>
      <c r="K7" s="6">
        <f>SUM(G7:J7)</f>
        <v>20</v>
      </c>
      <c r="L7" s="6">
        <f>COUNTIF('WAZIR-S Lower'!$O:$O,"Done")</f>
        <v>0</v>
      </c>
      <c r="M7" s="7">
        <f>IFERROR(SUMIF('All UCs'!$B:$B,A7,'All UCs'!$L:$L)/SUMIF('All UCs'!$B:$B,A7,'All UCs'!$K:$K),0)</f>
        <v>0.9942528735632183</v>
      </c>
      <c r="N7" s="8">
        <f>(E7-M7)*100</f>
        <v>-9.040671971706445</v>
      </c>
      <c r="O7" s="6">
        <f>COUNTIFS('All UCs'!$B:$B,A7,'All UCs'!$O:$O,"Persistent low")</f>
        <v>2</v>
      </c>
      <c r="P7" s="6">
        <f>COUNTIFS('All UCs'!$B:$B,A7,'All UCs'!$O:$O,"Newly declined")</f>
        <v>7</v>
      </c>
      <c r="Q7" s="6">
        <f>COUNTIFS('All UCs'!$B:$B,A7,'All UCs'!$O:$O,"Recovered")</f>
        <v>1</v>
      </c>
    </row>
    <row r="8" spans="1:17" x14ac:dyDescent="0.25">
      <c r="A8" s="5" t="s">
        <v>587</v>
      </c>
      <c r="B8" s="6">
        <f>COUNTIF('All UCs'!$B:$B,A8)</f>
        <v>103</v>
      </c>
      <c r="C8" s="6">
        <f>SUMIF('All UCs'!$B:$B,A8,'All UCs'!$F:$F)</f>
        <v>13547</v>
      </c>
      <c r="D8" s="6">
        <f>SUMIF('All UCs'!$B:$B,A8,'All UCs'!$G:$G)</f>
        <v>12681</v>
      </c>
      <c r="E8" s="7">
        <f>IF(C8&gt;0,D8/C8,0)</f>
        <v>0.9360744076179227</v>
      </c>
      <c r="F8" s="6">
        <f>SUMIF('All Follow-ups'!$A:$A,A8,'All Follow-ups'!$I:$I)</f>
        <v>1010</v>
      </c>
      <c r="G8" s="6">
        <f>COUNTIFS('All Follow-ups'!$A:$A,A8,'All Follow-ups'!$B:$B,"P1*")</f>
        <v>5</v>
      </c>
      <c r="H8" s="6">
        <f>COUNTIFS('All Follow-ups'!$A:$A,A8,'All Follow-ups'!$B:$B,"P2*")</f>
        <v>0</v>
      </c>
      <c r="I8" s="6">
        <f>COUNTIFS('All Follow-ups'!$A:$A,A8,'All Follow-ups'!$B:$B,"P3*")</f>
        <v>4</v>
      </c>
      <c r="J8" s="6">
        <f>COUNTIFS('All Follow-ups'!$A:$A,A8,'All Follow-ups'!$B:$B,"P4*")</f>
        <v>7</v>
      </c>
      <c r="K8" s="6">
        <f>SUM(G8:J8)</f>
        <v>16</v>
      </c>
      <c r="L8" s="6">
        <f>COUNTIF('PESHAWAR'!$O:$O,"Done")</f>
        <v>0</v>
      </c>
      <c r="M8" s="7">
        <f>IFERROR(SUMIF('All UCs'!$B:$B,A8,'All UCs'!$L:$L)/SUMIF('All UCs'!$B:$B,A8,'All UCs'!$K:$K),0)</f>
        <v>0.47366846199880314</v>
      </c>
      <c r="N8" s="8">
        <f>(E8-M8)*100</f>
        <v>46.24059456191196</v>
      </c>
      <c r="O8" s="6">
        <f>COUNTIFS('All UCs'!$B:$B,A8,'All UCs'!$O:$O,"Persistent low")</f>
        <v>9</v>
      </c>
      <c r="P8" s="6">
        <f>COUNTIFS('All UCs'!$B:$B,A8,'All UCs'!$O:$O,"Newly declined")</f>
        <v>3</v>
      </c>
      <c r="Q8" s="6">
        <f>COUNTIFS('All UCs'!$B:$B,A8,'All UCs'!$O:$O,"Recovered")</f>
        <v>72</v>
      </c>
    </row>
    <row r="9" spans="1:17" x14ac:dyDescent="0.25">
      <c r="A9" s="5" t="s">
        <v>283</v>
      </c>
      <c r="B9" s="6">
        <f>COUNTIF('All UCs'!$B:$B,A9)</f>
        <v>53</v>
      </c>
      <c r="C9" s="6">
        <f>SUMIF('All UCs'!$B:$B,A9,'All UCs'!$F:$F)</f>
        <v>5284</v>
      </c>
      <c r="D9" s="6">
        <f>SUMIF('All UCs'!$B:$B,A9,'All UCs'!$G:$G)</f>
        <v>5010</v>
      </c>
      <c r="E9" s="7">
        <f>IF(C9&gt;0,D9/C9,0)</f>
        <v>0.9481453444360333</v>
      </c>
      <c r="F9" s="6">
        <f>SUMIF('All Follow-ups'!$A:$A,A9,'All Follow-ups'!$I:$I)</f>
        <v>247</v>
      </c>
      <c r="G9" s="6">
        <f>COUNTIFS('All Follow-ups'!$A:$A,A9,'All Follow-ups'!$B:$B,"P1*")</f>
        <v>2</v>
      </c>
      <c r="H9" s="6">
        <f>COUNTIFS('All Follow-ups'!$A:$A,A9,'All Follow-ups'!$B:$B,"P2*")</f>
        <v>2</v>
      </c>
      <c r="I9" s="6">
        <f>COUNTIFS('All Follow-ups'!$A:$A,A9,'All Follow-ups'!$B:$B,"P3*")</f>
        <v>3</v>
      </c>
      <c r="J9" s="6">
        <f>COUNTIFS('All Follow-ups'!$A:$A,A9,'All Follow-ups'!$B:$B,"P4*")</f>
        <v>5</v>
      </c>
      <c r="K9" s="6">
        <f>SUM(G9:J9)</f>
        <v>12</v>
      </c>
      <c r="L9" s="6">
        <f>COUNTIF('DIKHAN'!$O:$O,"Done")</f>
        <v>0</v>
      </c>
      <c r="M9" s="7">
        <f>IFERROR(SUMIF('All UCs'!$B:$B,A9,'All UCs'!$L:$L)/SUMIF('All UCs'!$B:$B,A9,'All UCs'!$K:$K),0)</f>
        <v>0.8984865263935032</v>
      </c>
      <c r="N9" s="8">
        <f>(E9-M9)*100</f>
        <v>4.9658818042530015</v>
      </c>
      <c r="O9" s="6">
        <f>COUNTIFS('All UCs'!$B:$B,A9,'All UCs'!$O:$O,"Persistent low")</f>
        <v>3</v>
      </c>
      <c r="P9" s="6">
        <f>COUNTIFS('All UCs'!$B:$B,A9,'All UCs'!$O:$O,"Newly declined")</f>
        <v>6</v>
      </c>
      <c r="Q9" s="6">
        <f>COUNTIFS('All UCs'!$B:$B,A9,'All UCs'!$O:$O,"Recovered")</f>
        <v>7</v>
      </c>
    </row>
    <row r="10" spans="1:17" x14ac:dyDescent="0.25">
      <c r="A10" s="5" t="s">
        <v>144</v>
      </c>
      <c r="B10" s="6">
        <f>COUNTIF('All UCs'!$B:$B,A10)</f>
        <v>40</v>
      </c>
      <c r="C10" s="6">
        <f>SUMIF('All UCs'!$B:$B,A10,'All UCs'!$F:$F)</f>
        <v>4555</v>
      </c>
      <c r="D10" s="6">
        <f>SUMIF('All UCs'!$B:$B,A10,'All UCs'!$G:$G)</f>
        <v>4560</v>
      </c>
      <c r="E10" s="7">
        <f>IF(C10&gt;0,D10/C10,0)</f>
        <v>1.0010976948408343</v>
      </c>
      <c r="F10" s="6">
        <f>SUMIF('All Follow-ups'!$A:$A,A10,'All Follow-ups'!$I:$I)</f>
        <v>139</v>
      </c>
      <c r="G10" s="6">
        <f>COUNTIFS('All Follow-ups'!$A:$A,A10,'All Follow-ups'!$B:$B,"P1*")</f>
        <v>0</v>
      </c>
      <c r="H10" s="6">
        <f>COUNTIFS('All Follow-ups'!$A:$A,A10,'All Follow-ups'!$B:$B,"P2*")</f>
        <v>0</v>
      </c>
      <c r="I10" s="6">
        <f>COUNTIFS('All Follow-ups'!$A:$A,A10,'All Follow-ups'!$B:$B,"P3*")</f>
        <v>5</v>
      </c>
      <c r="J10" s="6">
        <f>COUNTIFS('All Follow-ups'!$A:$A,A10,'All Follow-ups'!$B:$B,"P4*")</f>
        <v>5</v>
      </c>
      <c r="K10" s="6">
        <f>SUM(G10:J10)</f>
        <v>10</v>
      </c>
      <c r="L10" s="6">
        <f>COUNTIF('LAKKIMRWT'!$O:$O,"Done")</f>
        <v>0</v>
      </c>
      <c r="M10" s="7">
        <f>IFERROR(SUMIF('All UCs'!$B:$B,A10,'All UCs'!$L:$L)/SUMIF('All UCs'!$B:$B,A10,'All UCs'!$K:$K),0)</f>
        <v>1.0</v>
      </c>
      <c r="N10" s="8">
        <f>(E10-M10)*100</f>
        <v>0.10976948408342935</v>
      </c>
      <c r="O10" s="6">
        <f>COUNTIFS('All UCs'!$B:$B,A10,'All UCs'!$O:$O,"Persistent low")</f>
        <v>0</v>
      </c>
      <c r="P10" s="6">
        <f>COUNTIFS('All UCs'!$B:$B,A10,'All UCs'!$O:$O,"Newly declined")</f>
        <v>5</v>
      </c>
      <c r="Q10" s="6">
        <f>COUNTIFS('All UCs'!$B:$B,A10,'All UCs'!$O:$O,"Recovered")</f>
        <v>0</v>
      </c>
    </row>
    <row r="11" spans="1:17" x14ac:dyDescent="0.25">
      <c r="A11" s="5" t="s">
        <v>588</v>
      </c>
      <c r="B11" s="6">
        <f>COUNTIF('All UCs'!$B:$B,A11)</f>
        <v>53</v>
      </c>
      <c r="C11" s="6">
        <f>SUMIF('All UCs'!$B:$B,A11,'All UCs'!$F:$F)</f>
        <v>1850</v>
      </c>
      <c r="D11" s="6">
        <f>SUMIF('All UCs'!$B:$B,A11,'All UCs'!$G:$G)</f>
        <v>1863</v>
      </c>
      <c r="E11" s="7">
        <f>IF(C11&gt;0,D11/C11,0)</f>
        <v>1.007027027027027</v>
      </c>
      <c r="F11" s="6">
        <f>SUMIF('All Follow-ups'!$A:$A,A11,'All Follow-ups'!$I:$I)</f>
        <v>35</v>
      </c>
      <c r="G11" s="6">
        <f>COUNTIFS('All Follow-ups'!$A:$A,A11,'All Follow-ups'!$B:$B,"P1*")</f>
        <v>1</v>
      </c>
      <c r="H11" s="6">
        <f>COUNTIFS('All Follow-ups'!$A:$A,A11,'All Follow-ups'!$B:$B,"P2*")</f>
        <v>0</v>
      </c>
      <c r="I11" s="6">
        <f>COUNTIFS('All Follow-ups'!$A:$A,A11,'All Follow-ups'!$B:$B,"P3*")</f>
        <v>6</v>
      </c>
      <c r="J11" s="6">
        <f>COUNTIFS('All Follow-ups'!$A:$A,A11,'All Follow-ups'!$B:$B,"P4*")</f>
        <v>2</v>
      </c>
      <c r="K11" s="6">
        <f>SUM(G11:J11)</f>
        <v>9</v>
      </c>
      <c r="L11" s="6">
        <f>COUNTIF('KHYBER'!$O:$O,"Done")</f>
        <v>0</v>
      </c>
      <c r="M11" s="7">
        <f>IFERROR(SUMIF('All UCs'!$B:$B,A11,'All UCs'!$L:$L)/SUMIF('All UCs'!$B:$B,A11,'All UCs'!$K:$K),0)</f>
        <v>0.9212765957446808</v>
      </c>
      <c r="N11" s="8">
        <f>(E11-M11)*100</f>
        <v>8.575043128234611</v>
      </c>
      <c r="O11" s="6">
        <f>COUNTIFS('All UCs'!$B:$B,A11,'All UCs'!$O:$O,"Persistent low")</f>
        <v>0</v>
      </c>
      <c r="P11" s="6">
        <f>COUNTIFS('All UCs'!$B:$B,A11,'All UCs'!$O:$O,"Newly declined")</f>
        <v>3</v>
      </c>
      <c r="Q11" s="6">
        <f>COUNTIFS('All UCs'!$B:$B,A11,'All UCs'!$O:$O,"Recovered")</f>
        <v>5</v>
      </c>
    </row>
    <row r="12" spans="1:17" x14ac:dyDescent="0.25">
      <c r="A12" s="5" t="s">
        <v>228</v>
      </c>
      <c r="B12" s="6">
        <f>COUNTIF('All UCs'!$B:$B,A12)</f>
        <v>23</v>
      </c>
      <c r="C12" s="6">
        <f>SUMIF('All UCs'!$B:$B,A12,'All UCs'!$F:$F)</f>
        <v>492</v>
      </c>
      <c r="D12" s="6">
        <f>SUMIF('All UCs'!$B:$B,A12,'All UCs'!$G:$G)</f>
        <v>537</v>
      </c>
      <c r="E12" s="7">
        <f>IF(C12&gt;0,D12/C12,0)</f>
        <v>1.0914634146341464</v>
      </c>
      <c r="F12" s="6">
        <f>SUMIF('All Follow-ups'!$A:$A,A12,'All Follow-ups'!$I:$I)</f>
        <v>155</v>
      </c>
      <c r="G12" s="6">
        <f>COUNTIFS('All Follow-ups'!$A:$A,A12,'All Follow-ups'!$B:$B,"P1*")</f>
        <v>6</v>
      </c>
      <c r="H12" s="6">
        <f>COUNTIFS('All Follow-ups'!$A:$A,A12,'All Follow-ups'!$B:$B,"P2*")</f>
        <v>1</v>
      </c>
      <c r="I12" s="6">
        <f>COUNTIFS('All Follow-ups'!$A:$A,A12,'All Follow-ups'!$B:$B,"P3*")</f>
        <v>7</v>
      </c>
      <c r="J12" s="6">
        <f>COUNTIFS('All Follow-ups'!$A:$A,A12,'All Follow-ups'!$B:$B,"P4*")</f>
        <v>1</v>
      </c>
      <c r="K12" s="6">
        <f>SUM(G12:J12)</f>
        <v>15</v>
      </c>
      <c r="L12" s="6">
        <f>COUNTIF('WAZIR-N'!$O:$O,"Done")</f>
        <v>0</v>
      </c>
      <c r="M12" s="7">
        <f>IFERROR(SUMIF('All UCs'!$B:$B,A12,'All UCs'!$L:$L)/SUMIF('All UCs'!$B:$B,A12,'All UCs'!$K:$K),0)</f>
        <v>1.0</v>
      </c>
      <c r="N12" s="8">
        <f>(E12-M12)*100</f>
        <v>9.146341463414643</v>
      </c>
      <c r="O12" s="6">
        <f>COUNTIFS('All UCs'!$B:$B,A12,'All UCs'!$O:$O,"Persistent low")</f>
        <v>0</v>
      </c>
      <c r="P12" s="6">
        <f>COUNTIFS('All UCs'!$B:$B,A12,'All UCs'!$O:$O,"Newly declined")</f>
        <v>5</v>
      </c>
      <c r="Q12" s="6">
        <f>COUNTIFS('All UCs'!$B:$B,A12,'All UCs'!$O:$O,"Recovered")</f>
        <v>0</v>
      </c>
    </row>
    <row r="13" spans="1:17" x14ac:dyDescent="0.25">
      <c r="A13" s="5" t="s">
        <v>517</v>
      </c>
      <c r="B13" s="6">
        <f>COUNTIF('All UCs'!$B:$B,A13)</f>
        <v>34</v>
      </c>
      <c r="C13" s="6">
        <f>SUMIF('All UCs'!$B:$B,A13,'All UCs'!$F:$F)</f>
        <v>290</v>
      </c>
      <c r="D13" s="6">
        <f>SUMIF('All UCs'!$B:$B,A13,'All UCs'!$G:$G)</f>
        <v>346</v>
      </c>
      <c r="E13" s="7">
        <f>IF(C13&gt;0,D13/C13,0)</f>
        <v>1.193103448275862</v>
      </c>
      <c r="F13" s="6">
        <f>SUMIF('All Follow-ups'!$A:$A,A13,'All Follow-ups'!$I:$I)</f>
        <v>15</v>
      </c>
      <c r="G13" s="6">
        <f>COUNTIFS('All Follow-ups'!$A:$A,A13,'All Follow-ups'!$B:$B,"P1*")</f>
        <v>3</v>
      </c>
      <c r="H13" s="6">
        <f>COUNTIFS('All Follow-ups'!$A:$A,A13,'All Follow-ups'!$B:$B,"P2*")</f>
        <v>0</v>
      </c>
      <c r="I13" s="6">
        <f>COUNTIFS('All Follow-ups'!$A:$A,A13,'All Follow-ups'!$B:$B,"P3*")</f>
        <v>8</v>
      </c>
      <c r="J13" s="6">
        <f>COUNTIFS('All Follow-ups'!$A:$A,A13,'All Follow-ups'!$B:$B,"P4*")</f>
        <v>1</v>
      </c>
      <c r="K13" s="6">
        <f>SUM(G13:J13)</f>
        <v>12</v>
      </c>
      <c r="L13" s="6">
        <f>COUNTIF('WAZIR-S Upper'!$O:$O,"Done")</f>
        <v>0</v>
      </c>
      <c r="M13" s="7">
        <f>IFERROR(SUMIF('All UCs'!$B:$B,A13,'All UCs'!$L:$L)/SUMIF('All UCs'!$B:$B,A13,'All UCs'!$K:$K),0)</f>
        <v>0.14285714285714285</v>
      </c>
      <c r="N13" s="8">
        <f>(E13-M13)*100</f>
        <v>105.02463054187191</v>
      </c>
      <c r="O13" s="6">
        <f>COUNTIFS('All UCs'!$B:$B,A13,'All UCs'!$O:$O,"Persistent low")</f>
        <v>1</v>
      </c>
      <c r="P13" s="6">
        <f>COUNTIFS('All UCs'!$B:$B,A13,'All UCs'!$O:$O,"Newly declined")</f>
        <v>0</v>
      </c>
      <c r="Q13" s="6">
        <f>COUNTIFS('All UCs'!$B:$B,A13,'All UCs'!$O:$O,"Recovered")</f>
        <v>8</v>
      </c>
    </row>
    <row r="14" spans="1:17" x14ac:dyDescent="0.25">
      <c r="A14" s="9" t="s">
        <v>958</v>
      </c>
      <c r="B14" s="10">
        <f>SUM(B5:B13)</f>
        <v>421</v>
      </c>
      <c r="C14" s="10">
        <f>SUM(C5:C13)</f>
        <v>31762</v>
      </c>
      <c r="D14" s="10">
        <f>SUM(D5:D13)</f>
        <v>30132</v>
      </c>
      <c r="E14" s="11">
        <f>IF(C14&gt;0,D14/C14,0)</f>
        <v>0.9486808135507839</v>
      </c>
      <c r="F14" s="10">
        <f>SUM(F5:F13)</f>
        <v>2611</v>
      </c>
      <c r="G14" s="10">
        <f>SUM(G5:G13)</f>
        <v>30</v>
      </c>
      <c r="H14" s="10">
        <f>SUM(H5:H13)</f>
        <v>4</v>
      </c>
      <c r="I14" s="10">
        <f>SUM(I5:I13)</f>
        <v>54</v>
      </c>
      <c r="J14" s="10">
        <f>SUM(J5:J13)</f>
        <v>36</v>
      </c>
      <c r="K14" s="10">
        <f>SUM(K5:K13)</f>
        <v>124</v>
      </c>
      <c r="L14" s="10">
        <f>SUM(L5:L13)</f>
        <v>0</v>
      </c>
      <c r="M14" s="11">
        <f>IFERROR(SUM('All UCs'!$L:$L)/SUM('All UCs'!$K:$K),0)</f>
        <v>0.6865412302040411</v>
      </c>
      <c r="N14" s="12">
        <f>(E14-M14)*100</f>
        <v>26.21395833467428</v>
      </c>
      <c r="O14" s="10">
        <f>SUM(O5:O13)</f>
        <v>20</v>
      </c>
      <c r="P14" s="10">
        <f>SUM(P5:P13)</f>
        <v>44</v>
      </c>
      <c r="Q14" s="10">
        <f>SUM(Q5:Q13)</f>
        <v>109</v>
      </c>
    </row>
    <row r="16" spans="1:17" x14ac:dyDescent="0.25">
      <c r="A16" s="13" t="s">
        <v>959</v>
      </c>
    </row>
    <row r="17" spans="1:12" x14ac:dyDescent="0.25">
      <c r="A17" s="3" t="s">
        <v>910</v>
      </c>
      <c r="B17" s="3" t="s">
        <v>960</v>
      </c>
      <c r="C17" s="3" t="s">
        <v>961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ht="30" customHeight="1" x14ac:dyDescent="0.25">
      <c r="A18" s="5" t="s">
        <v>67</v>
      </c>
      <c r="B18" s="14" t="s">
        <v>962</v>
      </c>
      <c r="C18" s="14" t="s">
        <v>930</v>
      </c>
      <c r="D18" s="14"/>
      <c r="E18" s="14"/>
      <c r="F18" s="14"/>
      <c r="G18" s="14"/>
      <c r="H18" s="14"/>
      <c r="I18" s="14"/>
      <c r="J18" s="14"/>
      <c r="K18" s="14"/>
      <c r="L18" s="14"/>
    </row>
    <row r="19" spans="1:12" ht="30" customHeight="1" x14ac:dyDescent="0.25">
      <c r="A19" s="5" t="s">
        <v>232</v>
      </c>
      <c r="B19" s="14" t="s">
        <v>963</v>
      </c>
      <c r="C19" s="14" t="s">
        <v>964</v>
      </c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30" customHeight="1" x14ac:dyDescent="0.25">
      <c r="A20" s="5" t="s">
        <v>26</v>
      </c>
      <c r="B20" s="14" t="s">
        <v>965</v>
      </c>
      <c r="C20" s="14" t="s">
        <v>921</v>
      </c>
      <c r="D20" s="14"/>
      <c r="E20" s="14"/>
      <c r="F20" s="14"/>
      <c r="G20" s="14"/>
      <c r="H20" s="14"/>
      <c r="I20" s="14"/>
      <c r="J20" s="14"/>
      <c r="K20" s="14"/>
      <c r="L20" s="14"/>
    </row>
    <row r="21" spans="1:12" ht="30" customHeight="1" x14ac:dyDescent="0.25">
      <c r="A21" s="5" t="s">
        <v>244</v>
      </c>
      <c r="B21" s="14" t="s">
        <v>966</v>
      </c>
      <c r="C21" s="14" t="s">
        <v>929</v>
      </c>
      <c r="D21" s="14"/>
      <c r="E21" s="14"/>
      <c r="F21" s="14"/>
      <c r="G21" s="14"/>
      <c r="H21" s="14"/>
      <c r="I21" s="14"/>
      <c r="J21" s="14"/>
      <c r="K21" s="14"/>
      <c r="L21" s="14"/>
    </row>
    <row r="22" spans="1:12" ht="30" customHeight="1" x14ac:dyDescent="0.25">
      <c r="A22" s="5" t="s">
        <v>385</v>
      </c>
      <c r="B22" s="14" t="s">
        <v>967</v>
      </c>
      <c r="C22" s="14" t="s">
        <v>927</v>
      </c>
      <c r="D22" s="14"/>
      <c r="E22" s="14"/>
      <c r="F22" s="14"/>
      <c r="G22" s="14"/>
      <c r="H22" s="14"/>
      <c r="I22" s="14"/>
      <c r="J22" s="14"/>
      <c r="K22" s="14"/>
      <c r="L22" s="14"/>
    </row>
    <row r="23" spans="1:12" ht="30" customHeight="1" x14ac:dyDescent="0.25">
      <c r="A23" s="5" t="s">
        <v>45</v>
      </c>
      <c r="B23" s="14" t="s">
        <v>968</v>
      </c>
      <c r="C23" s="14" t="s">
        <v>969</v>
      </c>
      <c r="D23" s="14"/>
      <c r="E23" s="14"/>
      <c r="F23" s="14"/>
      <c r="G23" s="14"/>
      <c r="H23" s="14"/>
      <c r="I23" s="14"/>
      <c r="J23" s="14"/>
      <c r="K23" s="14"/>
      <c r="L23" s="14"/>
    </row>
    <row r="25" spans="1:12" ht="30" customHeight="1" x14ac:dyDescent="0.25">
      <c r="A25" s="15" t="s">
        <v>970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30" customHeight="1" x14ac:dyDescent="0.25">
      <c r="A26" s="15" t="s">
        <v>971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30" customHeight="1" x14ac:dyDescent="0.25">
      <c r="A27" s="15" t="s">
        <v>972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42" customHeight="1" x14ac:dyDescent="0.25">
      <c r="A28" s="15" t="s">
        <v>973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</sheetData>
  <mergeCells count="11">
    <mergeCell ref="C17:L17"/>
    <mergeCell ref="C18:L18"/>
    <mergeCell ref="C19:L19"/>
    <mergeCell ref="C20:L20"/>
    <mergeCell ref="C21:L21"/>
    <mergeCell ref="C22:L22"/>
    <mergeCell ref="C23:L23"/>
    <mergeCell ref="A25:L25"/>
    <mergeCell ref="A26:L26"/>
    <mergeCell ref="A27:L27"/>
    <mergeCell ref="A28:L28"/>
  </mergeCells>
  <conditionalFormatting sqref="A18:A23">
    <cfRule type="beginsWith" dxfId="0" priority="5" operator="beginsWith" text="P1">
      <formula>LEFT(A18,2)="P1"</formula>
    </cfRule>
    <cfRule type="beginsWith" dxfId="1" priority="6" operator="beginsWith" text="P2">
      <formula>LEFT(A18,2)="P2"</formula>
    </cfRule>
    <cfRule type="beginsWith" dxfId="2" priority="7" operator="beginsWith" text="P3">
      <formula>LEFT(A18,2)="P3"</formula>
    </cfRule>
    <cfRule type="beginsWith" dxfId="3" priority="8" operator="beginsWith" text="P4">
      <formula>LEFT(A18,2)="P4"</formula>
    </cfRule>
  </conditionalFormatting>
  <conditionalFormatting sqref="E5:E13">
    <cfRule type="colorScale" priority="1">
      <colorScale>
        <cfvo type="num" val="0.7"/>
        <cfvo type="num" val="0.85"/>
        <cfvo type="num" val="0.95"/>
        <color rgb="FFF8696B"/>
        <color rgb="FFFFEB84"/>
        <color rgb="FF63BE7B"/>
      </colorScale>
    </cfRule>
  </conditionalFormatting>
  <conditionalFormatting sqref="F5:F13">
    <cfRule type="dataBar" priority="2">
      <dataBar>
        <cfvo type="min"/>
        <cfvo type="max"/>
        <color rgb="FFF4B183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N5:N13">
    <cfRule type="cellIs" dxfId="8" priority="3" operator="lessThan">
      <formula>0</formula>
    </cfRule>
    <cfRule type="cellIs" dxfId="9" priority="4" operator="greaterThan">
      <formula>0</formula>
    </cfRule>
  </conditionalFormatting>
  <pageMargins left="0.7" right="0.7" top="0.75" bottom="0.75" header="0.3" footer="0.3"/>
  <pageSetup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4B183"/>
              <x14:negativeFillColor rgb="FFFF0000"/>
              <x14:negativeBorderColor rgb="FFFF0000"/>
              <x14:axisColor rgb="FF000000"/>
            </x14:dataBar>
          </x14:cfRule>
          <xm:sqref>F5:F13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28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5.7109375" customWidth="1"/>
    <col min="2" max="2" width="24.7109375" customWidth="1"/>
    <col min="3" max="3" width="16.7109375" customWidth="1"/>
    <col min="4" max="4" width="24.7109375" customWidth="1"/>
    <col min="5" max="5" width="11.7109375" customWidth="1"/>
    <col min="6" max="7" width="10.7109375" customWidth="1"/>
    <col min="8" max="8" width="11.7109375" customWidth="1"/>
    <col min="9" max="9" width="10.7109375" customWidth="1"/>
    <col min="10" max="10" width="9.7109375" customWidth="1"/>
    <col min="11" max="11" width="11.7109375" customWidth="1"/>
    <col min="12" max="12" width="17.7109375" customWidth="1"/>
    <col min="13" max="13" width="52.7109375" customWidth="1"/>
    <col min="14" max="14" width="18.7109375" customWidth="1"/>
    <col min="15" max="15" width="12.7109375" customWidth="1"/>
    <col min="16" max="16" width="16.7109375" customWidth="1"/>
    <col min="17" max="17" width="26.7109375" customWidth="1"/>
  </cols>
  <sheetData>
    <row r="1" spans="1:17">
      <c r="A1" s="1" t="s">
        <v>908</v>
      </c>
    </row>
    <row r="2" spans="1:17">
      <c r="A2" s="2" t="s">
        <v>909</v>
      </c>
    </row>
    <row r="4" spans="1:17" ht="32" customHeight="1">
      <c r="A4" s="3" t="s">
        <v>1</v>
      </c>
      <c r="B4" s="3" t="s">
        <v>910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911</v>
      </c>
      <c r="J4" s="3" t="s">
        <v>912</v>
      </c>
      <c r="K4" s="3" t="s">
        <v>12</v>
      </c>
      <c r="L4" s="3" t="s">
        <v>14</v>
      </c>
      <c r="M4" s="3" t="s">
        <v>913</v>
      </c>
      <c r="N4" s="4" t="s">
        <v>914</v>
      </c>
      <c r="O4" s="4" t="s">
        <v>915</v>
      </c>
      <c r="P4" s="4" t="s">
        <v>916</v>
      </c>
      <c r="Q4" s="4" t="s">
        <v>917</v>
      </c>
    </row>
    <row r="5" spans="1:17">
      <c r="A5" s="5" t="s">
        <v>15</v>
      </c>
      <c r="B5" s="5" t="s">
        <v>67</v>
      </c>
      <c r="C5" s="5" t="s">
        <v>107</v>
      </c>
      <c r="D5" s="5" t="s">
        <v>110</v>
      </c>
      <c r="E5" s="5" t="s">
        <v>111</v>
      </c>
      <c r="F5" s="6">
        <v>135</v>
      </c>
      <c r="G5" s="6">
        <v>0</v>
      </c>
      <c r="H5" s="7">
        <f>IF(F5&gt;0,G5/F5,"n/a")</f>
        <v>0.0</v>
      </c>
      <c r="I5" s="6">
        <f>MAX(F5-G5,0)</f>
        <v>135</v>
      </c>
      <c r="J5" s="6">
        <f>MAX(G5-F5,0)</f>
        <v>0</v>
      </c>
      <c r="K5" s="7">
        <v>0.9790000000000001</v>
      </c>
      <c r="L5" s="5" t="s">
        <v>68</v>
      </c>
      <c r="M5" s="14" t="s">
        <v>918</v>
      </c>
      <c r="N5" s="16" t="s">
        <v>19</v>
      </c>
      <c r="O5" s="17" t="s">
        <v>19</v>
      </c>
      <c r="P5" s="16" t="s">
        <v>919</v>
      </c>
      <c r="Q5" s="16" t="s">
        <v>19</v>
      </c>
    </row>
    <row r="6" spans="1:17">
      <c r="A6" s="5" t="s">
        <v>15</v>
      </c>
      <c r="B6" s="5" t="s">
        <v>67</v>
      </c>
      <c r="C6" s="5" t="s">
        <v>15</v>
      </c>
      <c r="D6" s="5" t="s">
        <v>65</v>
      </c>
      <c r="E6" s="5" t="s">
        <v>66</v>
      </c>
      <c r="F6" s="6">
        <v>120</v>
      </c>
      <c r="G6" s="6">
        <v>0</v>
      </c>
      <c r="H6" s="7">
        <f>IF(F6&gt;0,G6/F6,"n/a")</f>
        <v>0.0</v>
      </c>
      <c r="I6" s="6">
        <f>MAX(F6-G6,0)</f>
        <v>120</v>
      </c>
      <c r="J6" s="6">
        <f>MAX(G6-F6,0)</f>
        <v>0</v>
      </c>
      <c r="K6" s="7">
        <v>1</v>
      </c>
      <c r="L6" s="5" t="s">
        <v>68</v>
      </c>
      <c r="M6" s="14" t="s">
        <v>918</v>
      </c>
      <c r="N6" s="16" t="s">
        <v>19</v>
      </c>
      <c r="O6" s="17" t="s">
        <v>19</v>
      </c>
      <c r="P6" s="16" t="s">
        <v>919</v>
      </c>
      <c r="Q6" s="16" t="s">
        <v>19</v>
      </c>
    </row>
    <row r="7" spans="1:17">
      <c r="A7" s="5" t="s">
        <v>15</v>
      </c>
      <c r="B7" s="5" t="s">
        <v>67</v>
      </c>
      <c r="C7" s="5" t="s">
        <v>107</v>
      </c>
      <c r="D7" s="5" t="s">
        <v>116</v>
      </c>
      <c r="E7" s="5" t="s">
        <v>117</v>
      </c>
      <c r="F7" s="6">
        <v>111</v>
      </c>
      <c r="G7" s="6">
        <v>0</v>
      </c>
      <c r="H7" s="7">
        <f>IF(F7&gt;0,G7/F7,"n/a")</f>
        <v>0.0</v>
      </c>
      <c r="I7" s="6">
        <f>MAX(F7-G7,0)</f>
        <v>111</v>
      </c>
      <c r="J7" s="6">
        <f>MAX(G7-F7,0)</f>
        <v>0</v>
      </c>
      <c r="K7" s="7">
        <v>1.053</v>
      </c>
      <c r="L7" s="5" t="s">
        <v>68</v>
      </c>
      <c r="M7" s="14" t="s">
        <v>918</v>
      </c>
      <c r="N7" s="16" t="s">
        <v>19</v>
      </c>
      <c r="O7" s="17" t="s">
        <v>19</v>
      </c>
      <c r="P7" s="16" t="s">
        <v>919</v>
      </c>
      <c r="Q7" s="16" t="s">
        <v>19</v>
      </c>
    </row>
    <row r="8" spans="1:17">
      <c r="A8" s="5" t="s">
        <v>15</v>
      </c>
      <c r="B8" s="5" t="s">
        <v>67</v>
      </c>
      <c r="C8" s="5" t="s">
        <v>83</v>
      </c>
      <c r="D8" s="5" t="s">
        <v>88</v>
      </c>
      <c r="E8" s="5" t="s">
        <v>89</v>
      </c>
      <c r="F8" s="6">
        <v>89</v>
      </c>
      <c r="G8" s="6">
        <v>0</v>
      </c>
      <c r="H8" s="7">
        <f>IF(F8&gt;0,G8/F8,"n/a")</f>
        <v>0.0</v>
      </c>
      <c r="I8" s="6">
        <f>MAX(F8-G8,0)</f>
        <v>89</v>
      </c>
      <c r="J8" s="6">
        <f>MAX(G8-F8,0)</f>
        <v>0</v>
      </c>
      <c r="K8" s="7">
        <v>0</v>
      </c>
      <c r="L8" s="5" t="s">
        <v>46</v>
      </c>
      <c r="M8" s="14" t="s">
        <v>920</v>
      </c>
      <c r="N8" s="16" t="s">
        <v>19</v>
      </c>
      <c r="O8" s="17" t="s">
        <v>19</v>
      </c>
      <c r="P8" s="16" t="s">
        <v>919</v>
      </c>
      <c r="Q8" s="16" t="s">
        <v>19</v>
      </c>
    </row>
    <row r="9" spans="1:17">
      <c r="A9" s="5" t="s">
        <v>15</v>
      </c>
      <c r="B9" s="5" t="s">
        <v>26</v>
      </c>
      <c r="C9" s="5" t="s">
        <v>83</v>
      </c>
      <c r="D9" s="5" t="s">
        <v>86</v>
      </c>
      <c r="E9" s="5" t="s">
        <v>87</v>
      </c>
      <c r="F9" s="6">
        <v>60</v>
      </c>
      <c r="G9" s="6">
        <v>174</v>
      </c>
      <c r="H9" s="7">
        <f>IF(F9&gt;0,G9/F9,"n/a")</f>
        <v>2.9</v>
      </c>
      <c r="I9" s="6">
        <f>MAX(F9-G9,0)</f>
        <v>0</v>
      </c>
      <c r="J9" s="6">
        <f>MAX(G9-F9,0)</f>
        <v>114</v>
      </c>
      <c r="K9" s="7">
        <v>0</v>
      </c>
      <c r="L9" s="5" t="s">
        <v>23</v>
      </c>
      <c r="M9" s="14" t="s">
        <v>921</v>
      </c>
      <c r="N9" s="16" t="s">
        <v>19</v>
      </c>
      <c r="O9" s="17" t="s">
        <v>19</v>
      </c>
      <c r="P9" s="16" t="s">
        <v>919</v>
      </c>
      <c r="Q9" s="16" t="s">
        <v>19</v>
      </c>
    </row>
    <row r="10" spans="1:17">
      <c r="A10" s="5" t="s">
        <v>15</v>
      </c>
      <c r="B10" s="5" t="s">
        <v>26</v>
      </c>
      <c r="C10" s="5" t="s">
        <v>107</v>
      </c>
      <c r="D10" s="5" t="s">
        <v>112</v>
      </c>
      <c r="E10" s="5" t="s">
        <v>113</v>
      </c>
      <c r="F10" s="6">
        <v>99</v>
      </c>
      <c r="G10" s="6">
        <v>212</v>
      </c>
      <c r="H10" s="7">
        <f>IF(F10&gt;0,G10/F10,"n/a")</f>
        <v>2.141</v>
      </c>
      <c r="I10" s="6">
        <f>MAX(F10-G10,0)</f>
        <v>0</v>
      </c>
      <c r="J10" s="6">
        <f>MAX(G10-F10,0)</f>
        <v>113</v>
      </c>
      <c r="K10" s="7">
        <v>0.5679999999999999</v>
      </c>
      <c r="L10" s="5" t="s">
        <v>23</v>
      </c>
      <c r="M10" s="14" t="s">
        <v>921</v>
      </c>
      <c r="N10" s="16" t="s">
        <v>19</v>
      </c>
      <c r="O10" s="17" t="s">
        <v>19</v>
      </c>
      <c r="P10" s="16" t="s">
        <v>919</v>
      </c>
      <c r="Q10" s="16" t="s">
        <v>19</v>
      </c>
    </row>
    <row r="11" spans="1:17">
      <c r="A11" s="5" t="s">
        <v>15</v>
      </c>
      <c r="B11" s="5" t="s">
        <v>26</v>
      </c>
      <c r="C11" s="5" t="s">
        <v>15</v>
      </c>
      <c r="D11" s="5" t="s">
        <v>79</v>
      </c>
      <c r="E11" s="5" t="s">
        <v>80</v>
      </c>
      <c r="F11" s="6">
        <v>122</v>
      </c>
      <c r="G11" s="6">
        <v>157</v>
      </c>
      <c r="H11" s="7">
        <f>IF(F11&gt;0,G11/F11,"n/a")</f>
        <v>1.287</v>
      </c>
      <c r="I11" s="6">
        <f>MAX(F11-G11,0)</f>
        <v>0</v>
      </c>
      <c r="J11" s="6">
        <f>MAX(G11-F11,0)</f>
        <v>35</v>
      </c>
      <c r="K11" s="7">
        <v>0.556</v>
      </c>
      <c r="L11" s="5" t="s">
        <v>23</v>
      </c>
      <c r="M11" s="14" t="s">
        <v>921</v>
      </c>
      <c r="N11" s="16" t="s">
        <v>19</v>
      </c>
      <c r="O11" s="17" t="s">
        <v>19</v>
      </c>
      <c r="P11" s="16" t="s">
        <v>919</v>
      </c>
      <c r="Q11" s="16" t="s">
        <v>19</v>
      </c>
    </row>
    <row r="12" spans="1:17">
      <c r="A12" s="5" t="s">
        <v>15</v>
      </c>
      <c r="B12" s="5" t="s">
        <v>26</v>
      </c>
      <c r="C12" s="5" t="s">
        <v>16</v>
      </c>
      <c r="D12" s="5" t="s">
        <v>24</v>
      </c>
      <c r="E12" s="5" t="s">
        <v>25</v>
      </c>
      <c r="F12" s="6">
        <v>77</v>
      </c>
      <c r="G12" s="6">
        <v>110</v>
      </c>
      <c r="H12" s="7">
        <f>IF(F12&gt;0,G12/F12,"n/a")</f>
        <v>1.429</v>
      </c>
      <c r="I12" s="6">
        <f>MAX(F12-G12,0)</f>
        <v>0</v>
      </c>
      <c r="J12" s="6">
        <f>MAX(G12-F12,0)</f>
        <v>33</v>
      </c>
      <c r="K12" s="7">
        <v>1.011</v>
      </c>
      <c r="L12" s="5" t="s">
        <v>20</v>
      </c>
      <c r="M12" s="14" t="s">
        <v>921</v>
      </c>
      <c r="N12" s="16" t="s">
        <v>19</v>
      </c>
      <c r="O12" s="17" t="s">
        <v>19</v>
      </c>
      <c r="P12" s="16" t="s">
        <v>919</v>
      </c>
      <c r="Q12" s="16" t="s">
        <v>19</v>
      </c>
    </row>
    <row r="13" spans="1:17">
      <c r="A13" s="5" t="s">
        <v>15</v>
      </c>
      <c r="B13" s="5" t="s">
        <v>26</v>
      </c>
      <c r="C13" s="5" t="s">
        <v>133</v>
      </c>
      <c r="D13" s="5" t="s">
        <v>136</v>
      </c>
      <c r="E13" s="5" t="s">
        <v>137</v>
      </c>
      <c r="F13" s="6">
        <v>24</v>
      </c>
      <c r="G13" s="6">
        <v>39</v>
      </c>
      <c r="H13" s="7">
        <f>IF(F13&gt;0,G13/F13,"n/a")</f>
        <v>1.625</v>
      </c>
      <c r="I13" s="6">
        <f>MAX(F13-G13,0)</f>
        <v>0</v>
      </c>
      <c r="J13" s="6">
        <f>MAX(G13-F13,0)</f>
        <v>15</v>
      </c>
      <c r="K13" s="7">
        <v>1</v>
      </c>
      <c r="L13" s="5" t="s">
        <v>20</v>
      </c>
      <c r="M13" s="14" t="s">
        <v>921</v>
      </c>
      <c r="N13" s="16" t="s">
        <v>19</v>
      </c>
      <c r="O13" s="17" t="s">
        <v>19</v>
      </c>
      <c r="P13" s="16" t="s">
        <v>919</v>
      </c>
      <c r="Q13" s="16" t="s">
        <v>19</v>
      </c>
    </row>
    <row r="14" spans="1:17">
      <c r="A14" s="5" t="s">
        <v>15</v>
      </c>
      <c r="B14" s="5" t="s">
        <v>26</v>
      </c>
      <c r="C14" s="5" t="s">
        <v>133</v>
      </c>
      <c r="D14" s="5" t="s">
        <v>140</v>
      </c>
      <c r="E14" s="5" t="s">
        <v>141</v>
      </c>
      <c r="F14" s="6">
        <v>16</v>
      </c>
      <c r="G14" s="6">
        <v>29</v>
      </c>
      <c r="H14" s="7">
        <f>IF(F14&gt;0,G14/F14,"n/a")</f>
        <v>1.8119999999999998</v>
      </c>
      <c r="I14" s="6">
        <f>MAX(F14-G14,0)</f>
        <v>0</v>
      </c>
      <c r="J14" s="6">
        <f>MAX(G14-F14,0)</f>
        <v>13</v>
      </c>
      <c r="K14" s="7">
        <v>0.8640000000000001</v>
      </c>
      <c r="L14" s="5" t="s">
        <v>20</v>
      </c>
      <c r="M14" s="14" t="s">
        <v>921</v>
      </c>
      <c r="N14" s="16" t="s">
        <v>19</v>
      </c>
      <c r="O14" s="17" t="s">
        <v>19</v>
      </c>
      <c r="P14" s="16" t="s">
        <v>919</v>
      </c>
      <c r="Q14" s="16" t="s">
        <v>19</v>
      </c>
    </row>
    <row r="15" spans="1:17">
      <c r="A15" s="5" t="s">
        <v>15</v>
      </c>
      <c r="B15" s="5" t="s">
        <v>26</v>
      </c>
      <c r="C15" s="5" t="s">
        <v>16</v>
      </c>
      <c r="D15" s="5" t="s">
        <v>27</v>
      </c>
      <c r="E15" s="5" t="s">
        <v>28</v>
      </c>
      <c r="F15" s="6">
        <v>10</v>
      </c>
      <c r="G15" s="6">
        <v>22</v>
      </c>
      <c r="H15" s="7">
        <f>IF(F15&gt;0,G15/F15,"n/a")</f>
        <v>2.2</v>
      </c>
      <c r="I15" s="6">
        <f>MAX(F15-G15,0)</f>
        <v>0</v>
      </c>
      <c r="J15" s="6">
        <f>MAX(G15-F15,0)</f>
        <v>12</v>
      </c>
      <c r="K15" s="7">
        <v>0</v>
      </c>
      <c r="L15" s="5" t="s">
        <v>23</v>
      </c>
      <c r="M15" s="14" t="s">
        <v>921</v>
      </c>
      <c r="N15" s="16" t="s">
        <v>19</v>
      </c>
      <c r="O15" s="17" t="s">
        <v>19</v>
      </c>
      <c r="P15" s="16" t="s">
        <v>919</v>
      </c>
      <c r="Q15" s="16" t="s">
        <v>19</v>
      </c>
    </row>
    <row r="16" spans="1:17">
      <c r="A16" s="5" t="s">
        <v>15</v>
      </c>
      <c r="B16" s="5" t="s">
        <v>26</v>
      </c>
      <c r="C16" s="5" t="s">
        <v>15</v>
      </c>
      <c r="D16" s="5" t="s">
        <v>41</v>
      </c>
      <c r="E16" s="5" t="s">
        <v>42</v>
      </c>
      <c r="F16" s="6">
        <v>61</v>
      </c>
      <c r="G16" s="6">
        <v>69</v>
      </c>
      <c r="H16" s="7">
        <f>IF(F16&gt;0,G16/F16,"n/a")</f>
        <v>1.131</v>
      </c>
      <c r="I16" s="6">
        <f>MAX(F16-G16,0)</f>
        <v>0</v>
      </c>
      <c r="J16" s="6">
        <f>MAX(G16-F16,0)</f>
        <v>8</v>
      </c>
      <c r="K16" s="7">
        <v>0.8090000000000001</v>
      </c>
      <c r="L16" s="5" t="s">
        <v>20</v>
      </c>
      <c r="M16" s="14" t="s">
        <v>921</v>
      </c>
      <c r="N16" s="16" t="s">
        <v>19</v>
      </c>
      <c r="O16" s="17" t="s">
        <v>19</v>
      </c>
      <c r="P16" s="16" t="s">
        <v>919</v>
      </c>
      <c r="Q16" s="16" t="s">
        <v>19</v>
      </c>
    </row>
    <row r="17" spans="1:17">
      <c r="A17" s="5" t="s">
        <v>15</v>
      </c>
      <c r="B17" s="5" t="s">
        <v>26</v>
      </c>
      <c r="C17" s="5" t="s">
        <v>83</v>
      </c>
      <c r="D17" s="5" t="s">
        <v>105</v>
      </c>
      <c r="E17" s="5" t="s">
        <v>106</v>
      </c>
      <c r="F17" s="6">
        <v>29</v>
      </c>
      <c r="G17" s="6">
        <v>35</v>
      </c>
      <c r="H17" s="7">
        <f>IF(F17&gt;0,G17/F17,"n/a")</f>
        <v>1.207</v>
      </c>
      <c r="I17" s="6">
        <f>MAX(F17-G17,0)</f>
        <v>0</v>
      </c>
      <c r="J17" s="6">
        <f>MAX(G17-F17,0)</f>
        <v>6</v>
      </c>
      <c r="K17" s="7">
        <v>1</v>
      </c>
      <c r="L17" s="5" t="s">
        <v>20</v>
      </c>
      <c r="M17" s="14" t="s">
        <v>921</v>
      </c>
      <c r="N17" s="16" t="s">
        <v>19</v>
      </c>
      <c r="O17" s="17" t="s">
        <v>19</v>
      </c>
      <c r="P17" s="16" t="s">
        <v>919</v>
      </c>
      <c r="Q17" s="16" t="s">
        <v>19</v>
      </c>
    </row>
    <row r="18" spans="1:17">
      <c r="A18" s="5" t="s">
        <v>15</v>
      </c>
      <c r="B18" s="5" t="s">
        <v>45</v>
      </c>
      <c r="C18" s="5" t="s">
        <v>15</v>
      </c>
      <c r="D18" s="5" t="s">
        <v>75</v>
      </c>
      <c r="E18" s="5" t="s">
        <v>76</v>
      </c>
      <c r="F18" s="6">
        <v>128</v>
      </c>
      <c r="G18" s="6">
        <v>67</v>
      </c>
      <c r="H18" s="7">
        <f>IF(F18&gt;0,G18/F18,"n/a")</f>
        <v>0.523</v>
      </c>
      <c r="I18" s="6">
        <f>MAX(F18-G18,0)</f>
        <v>61</v>
      </c>
      <c r="J18" s="6">
        <f>MAX(G18-F18,0)</f>
        <v>0</v>
      </c>
      <c r="K18" s="7">
        <v>0.9520000000000001</v>
      </c>
      <c r="L18" s="5" t="s">
        <v>68</v>
      </c>
      <c r="M18" s="14" t="s">
        <v>922</v>
      </c>
      <c r="N18" s="16" t="s">
        <v>19</v>
      </c>
      <c r="O18" s="17" t="s">
        <v>19</v>
      </c>
      <c r="P18" s="16" t="s">
        <v>919</v>
      </c>
      <c r="Q18" s="16" t="s">
        <v>19</v>
      </c>
    </row>
    <row r="19" spans="1:17">
      <c r="A19" s="5" t="s">
        <v>15</v>
      </c>
      <c r="B19" s="5" t="s">
        <v>45</v>
      </c>
      <c r="C19" s="5" t="s">
        <v>83</v>
      </c>
      <c r="D19" s="5" t="s">
        <v>94</v>
      </c>
      <c r="E19" s="5" t="s">
        <v>95</v>
      </c>
      <c r="F19" s="6">
        <v>89</v>
      </c>
      <c r="G19" s="6">
        <v>45</v>
      </c>
      <c r="H19" s="7">
        <f>IF(F19&gt;0,G19/F19,"n/a")</f>
        <v>0.506</v>
      </c>
      <c r="I19" s="6">
        <f>MAX(F19-G19,0)</f>
        <v>44</v>
      </c>
      <c r="J19" s="6">
        <f>MAX(G19-F19,0)</f>
        <v>0</v>
      </c>
      <c r="K19" s="7">
        <v>0.971</v>
      </c>
      <c r="L19" s="5" t="s">
        <v>68</v>
      </c>
      <c r="M19" s="14" t="s">
        <v>922</v>
      </c>
      <c r="N19" s="16" t="s">
        <v>19</v>
      </c>
      <c r="O19" s="17" t="s">
        <v>19</v>
      </c>
      <c r="P19" s="16" t="s">
        <v>919</v>
      </c>
      <c r="Q19" s="16" t="s">
        <v>19</v>
      </c>
    </row>
    <row r="20" spans="1:17">
      <c r="A20" s="5" t="s">
        <v>15</v>
      </c>
      <c r="B20" s="5" t="s">
        <v>45</v>
      </c>
      <c r="C20" s="5" t="s">
        <v>118</v>
      </c>
      <c r="D20" s="5" t="s">
        <v>131</v>
      </c>
      <c r="E20" s="5" t="s">
        <v>132</v>
      </c>
      <c r="F20" s="6">
        <v>88</v>
      </c>
      <c r="G20" s="6">
        <v>57</v>
      </c>
      <c r="H20" s="7">
        <f>IF(F20&gt;0,G20/F20,"n/a")</f>
        <v>0.648</v>
      </c>
      <c r="I20" s="6">
        <f>MAX(F20-G20,0)</f>
        <v>31</v>
      </c>
      <c r="J20" s="6">
        <f>MAX(G20-F20,0)</f>
        <v>0</v>
      </c>
      <c r="K20" s="7">
        <v>0.9790000000000001</v>
      </c>
      <c r="L20" s="5" t="s">
        <v>68</v>
      </c>
      <c r="M20" s="14" t="s">
        <v>922</v>
      </c>
      <c r="N20" s="16" t="s">
        <v>19</v>
      </c>
      <c r="O20" s="17" t="s">
        <v>19</v>
      </c>
      <c r="P20" s="16" t="s">
        <v>919</v>
      </c>
      <c r="Q20" s="16" t="s">
        <v>19</v>
      </c>
    </row>
    <row r="21" spans="1:17">
      <c r="A21" s="5" t="s">
        <v>15</v>
      </c>
      <c r="B21" s="5" t="s">
        <v>45</v>
      </c>
      <c r="C21" s="5" t="s">
        <v>15</v>
      </c>
      <c r="D21" s="5" t="s">
        <v>43</v>
      </c>
      <c r="E21" s="5" t="s">
        <v>44</v>
      </c>
      <c r="F21" s="6">
        <v>144</v>
      </c>
      <c r="G21" s="6">
        <v>114</v>
      </c>
      <c r="H21" s="7">
        <f>IF(F21&gt;0,G21/F21,"n/a")</f>
        <v>0.792</v>
      </c>
      <c r="I21" s="6">
        <f>MAX(F21-G21,0)</f>
        <v>30</v>
      </c>
      <c r="J21" s="6">
        <f>MAX(G21-F21,0)</f>
        <v>0</v>
      </c>
      <c r="K21" s="7">
        <v>0</v>
      </c>
      <c r="L21" s="5" t="s">
        <v>46</v>
      </c>
      <c r="M21" s="14" t="s">
        <v>923</v>
      </c>
      <c r="N21" s="16" t="s">
        <v>19</v>
      </c>
      <c r="O21" s="17" t="s">
        <v>19</v>
      </c>
      <c r="P21" s="16" t="s">
        <v>919</v>
      </c>
      <c r="Q21" s="16" t="s">
        <v>19</v>
      </c>
    </row>
    <row r="22" spans="1:17">
      <c r="A22" s="5" t="s">
        <v>15</v>
      </c>
      <c r="B22" s="5" t="s">
        <v>45</v>
      </c>
      <c r="C22" s="5" t="s">
        <v>83</v>
      </c>
      <c r="D22" s="5" t="s">
        <v>84</v>
      </c>
      <c r="E22" s="5" t="s">
        <v>85</v>
      </c>
      <c r="F22" s="6">
        <v>88</v>
      </c>
      <c r="G22" s="6">
        <v>64</v>
      </c>
      <c r="H22" s="7">
        <f>IF(F22&gt;0,G22/F22,"n/a")</f>
        <v>0.727</v>
      </c>
      <c r="I22" s="6">
        <f>MAX(F22-G22,0)</f>
        <v>24</v>
      </c>
      <c r="J22" s="6">
        <f>MAX(G22-F22,0)</f>
        <v>0</v>
      </c>
      <c r="K22" s="7">
        <v>1</v>
      </c>
      <c r="L22" s="5" t="s">
        <v>68</v>
      </c>
      <c r="M22" s="14" t="s">
        <v>922</v>
      </c>
      <c r="N22" s="16" t="s">
        <v>19</v>
      </c>
      <c r="O22" s="17" t="s">
        <v>19</v>
      </c>
      <c r="P22" s="16" t="s">
        <v>919</v>
      </c>
      <c r="Q22" s="16" t="s">
        <v>19</v>
      </c>
    </row>
    <row r="23" spans="1:17">
      <c r="A23" s="5" t="s">
        <v>15</v>
      </c>
      <c r="B23" s="5" t="s">
        <v>45</v>
      </c>
      <c r="C23" s="5" t="s">
        <v>83</v>
      </c>
      <c r="D23" s="5" t="s">
        <v>90</v>
      </c>
      <c r="E23" s="5" t="s">
        <v>91</v>
      </c>
      <c r="F23" s="6">
        <v>80</v>
      </c>
      <c r="G23" s="6">
        <v>57</v>
      </c>
      <c r="H23" s="7">
        <f>IF(F23&gt;0,G23/F23,"n/a")</f>
        <v>0.7120000000000001</v>
      </c>
      <c r="I23" s="6">
        <f>MAX(F23-G23,0)</f>
        <v>23</v>
      </c>
      <c r="J23" s="6">
        <f>MAX(G23-F23,0)</f>
        <v>0</v>
      </c>
      <c r="K23" s="7">
        <v>1</v>
      </c>
      <c r="L23" s="5" t="s">
        <v>68</v>
      </c>
      <c r="M23" s="14" t="s">
        <v>922</v>
      </c>
      <c r="N23" s="16" t="s">
        <v>19</v>
      </c>
      <c r="O23" s="17" t="s">
        <v>19</v>
      </c>
      <c r="P23" s="16" t="s">
        <v>919</v>
      </c>
      <c r="Q23" s="16" t="s">
        <v>19</v>
      </c>
    </row>
    <row r="24" spans="1:17">
      <c r="A24" s="5" t="s">
        <v>15</v>
      </c>
      <c r="B24" s="5" t="s">
        <v>45</v>
      </c>
      <c r="C24" s="5" t="s">
        <v>83</v>
      </c>
      <c r="D24" s="5" t="s">
        <v>103</v>
      </c>
      <c r="E24" s="5" t="s">
        <v>104</v>
      </c>
      <c r="F24" s="6">
        <v>51</v>
      </c>
      <c r="G24" s="6">
        <v>29</v>
      </c>
      <c r="H24" s="7">
        <f>IF(F24&gt;0,G24/F24,"n/a")</f>
        <v>0.569</v>
      </c>
      <c r="I24" s="6">
        <f>MAX(F24-G24,0)</f>
        <v>22</v>
      </c>
      <c r="J24" s="6">
        <f>MAX(G24-F24,0)</f>
        <v>0</v>
      </c>
      <c r="K24" s="7">
        <v>1</v>
      </c>
      <c r="L24" s="5" t="s">
        <v>68</v>
      </c>
      <c r="M24" s="14" t="s">
        <v>922</v>
      </c>
      <c r="N24" s="16" t="s">
        <v>19</v>
      </c>
      <c r="O24" s="17" t="s">
        <v>19</v>
      </c>
      <c r="P24" s="16" t="s">
        <v>919</v>
      </c>
      <c r="Q24" s="16" t="s">
        <v>19</v>
      </c>
    </row>
    <row r="25" spans="1:17">
      <c r="A25" s="5" t="s">
        <v>15</v>
      </c>
      <c r="B25" s="5" t="s">
        <v>45</v>
      </c>
      <c r="C25" s="5" t="s">
        <v>15</v>
      </c>
      <c r="D25" s="5" t="s">
        <v>55</v>
      </c>
      <c r="E25" s="5" t="s">
        <v>56</v>
      </c>
      <c r="F25" s="6">
        <v>60</v>
      </c>
      <c r="G25" s="6">
        <v>39</v>
      </c>
      <c r="H25" s="7">
        <f>IF(F25&gt;0,G25/F25,"n/a")</f>
        <v>0.65</v>
      </c>
      <c r="I25" s="6">
        <f>MAX(F25-G25,0)</f>
        <v>21</v>
      </c>
      <c r="J25" s="6">
        <f>MAX(G25-F25,0)</f>
        <v>0</v>
      </c>
      <c r="K25" s="7">
        <v>0.509</v>
      </c>
      <c r="L25" s="5" t="s">
        <v>46</v>
      </c>
      <c r="M25" s="14" t="s">
        <v>923</v>
      </c>
      <c r="N25" s="16" t="s">
        <v>19</v>
      </c>
      <c r="O25" s="17" t="s">
        <v>19</v>
      </c>
      <c r="P25" s="16" t="s">
        <v>919</v>
      </c>
      <c r="Q25" s="16" t="s">
        <v>19</v>
      </c>
    </row>
    <row r="26" spans="1:17">
      <c r="A26" s="5" t="s">
        <v>15</v>
      </c>
      <c r="B26" s="5" t="s">
        <v>45</v>
      </c>
      <c r="C26" s="5" t="s">
        <v>15</v>
      </c>
      <c r="D26" s="5" t="s">
        <v>63</v>
      </c>
      <c r="E26" s="5" t="s">
        <v>64</v>
      </c>
      <c r="F26" s="6">
        <v>52</v>
      </c>
      <c r="G26" s="6">
        <v>31</v>
      </c>
      <c r="H26" s="7">
        <f>IF(F26&gt;0,G26/F26,"n/a")</f>
        <v>0.596</v>
      </c>
      <c r="I26" s="6">
        <f>MAX(F26-G26,0)</f>
        <v>21</v>
      </c>
      <c r="J26" s="6">
        <f>MAX(G26-F26,0)</f>
        <v>0</v>
      </c>
      <c r="K26" s="7">
        <v>0.536</v>
      </c>
      <c r="L26" s="5" t="s">
        <v>46</v>
      </c>
      <c r="M26" s="14" t="s">
        <v>923</v>
      </c>
      <c r="N26" s="16" t="s">
        <v>19</v>
      </c>
      <c r="O26" s="17" t="s">
        <v>19</v>
      </c>
      <c r="P26" s="16" t="s">
        <v>919</v>
      </c>
      <c r="Q26" s="16" t="s">
        <v>19</v>
      </c>
    </row>
    <row r="27" spans="1:17">
      <c r="A27" s="5" t="s">
        <v>15</v>
      </c>
      <c r="B27" s="5" t="s">
        <v>45</v>
      </c>
      <c r="C27" s="5" t="s">
        <v>133</v>
      </c>
      <c r="D27" s="5" t="s">
        <v>142</v>
      </c>
      <c r="E27" s="5" t="s">
        <v>143</v>
      </c>
      <c r="F27" s="6">
        <v>48</v>
      </c>
      <c r="G27" s="6">
        <v>32</v>
      </c>
      <c r="H27" s="7">
        <f>IF(F27&gt;0,G27/F27,"n/a")</f>
        <v>0.667</v>
      </c>
      <c r="I27" s="6">
        <f>MAX(F27-G27,0)</f>
        <v>16</v>
      </c>
      <c r="J27" s="6">
        <f>MAX(G27-F27,0)</f>
        <v>0</v>
      </c>
      <c r="K27" s="7">
        <v>0</v>
      </c>
      <c r="L27" s="5" t="s">
        <v>46</v>
      </c>
      <c r="M27" s="14" t="s">
        <v>924</v>
      </c>
      <c r="N27" s="16" t="s">
        <v>19</v>
      </c>
      <c r="O27" s="17" t="s">
        <v>19</v>
      </c>
      <c r="P27" s="16" t="s">
        <v>919</v>
      </c>
      <c r="Q27" s="16" t="s">
        <v>19</v>
      </c>
    </row>
    <row r="28" spans="1:17">
      <c r="A28" s="5" t="s">
        <v>283</v>
      </c>
      <c r="B28" s="5" t="s">
        <v>67</v>
      </c>
      <c r="C28" s="5" t="s">
        <v>337</v>
      </c>
      <c r="D28" s="5" t="s">
        <v>344</v>
      </c>
      <c r="E28" s="5" t="s">
        <v>345</v>
      </c>
      <c r="F28" s="6">
        <v>92</v>
      </c>
      <c r="G28" s="6">
        <v>0</v>
      </c>
      <c r="H28" s="7">
        <f>IF(F28&gt;0,G28/F28,"n/a")</f>
        <v>0.0</v>
      </c>
      <c r="I28" s="6">
        <f>MAX(F28-G28,0)</f>
        <v>92</v>
      </c>
      <c r="J28" s="6">
        <f>MAX(G28-F28,0)</f>
        <v>0</v>
      </c>
      <c r="K28" s="7">
        <v>0.966</v>
      </c>
      <c r="L28" s="5" t="s">
        <v>68</v>
      </c>
      <c r="M28" s="14" t="s">
        <v>918</v>
      </c>
      <c r="N28" s="16" t="s">
        <v>19</v>
      </c>
      <c r="O28" s="17" t="s">
        <v>19</v>
      </c>
      <c r="P28" s="16" t="s">
        <v>919</v>
      </c>
      <c r="Q28" s="16" t="s">
        <v>19</v>
      </c>
    </row>
    <row r="29" spans="1:17">
      <c r="A29" s="5" t="s">
        <v>283</v>
      </c>
      <c r="B29" s="5" t="s">
        <v>67</v>
      </c>
      <c r="C29" s="5" t="s">
        <v>284</v>
      </c>
      <c r="D29" s="5" t="s">
        <v>288</v>
      </c>
      <c r="E29" s="5" t="s">
        <v>289</v>
      </c>
      <c r="F29" s="6">
        <v>5</v>
      </c>
      <c r="G29" s="6">
        <v>0</v>
      </c>
      <c r="H29" s="7">
        <f>IF(F29&gt;0,G29/F29,"n/a")</f>
        <v>0.0</v>
      </c>
      <c r="I29" s="6">
        <f>MAX(F29-G29,0)</f>
        <v>5</v>
      </c>
      <c r="J29" s="6">
        <f>MAX(G29-F29,0)</f>
        <v>0</v>
      </c>
      <c r="K29" s="7">
        <v>2</v>
      </c>
      <c r="L29" s="5" t="s">
        <v>68</v>
      </c>
      <c r="M29" s="14" t="s">
        <v>918</v>
      </c>
      <c r="N29" s="16" t="s">
        <v>19</v>
      </c>
      <c r="O29" s="17" t="s">
        <v>19</v>
      </c>
      <c r="P29" s="16" t="s">
        <v>919</v>
      </c>
      <c r="Q29" s="16" t="s">
        <v>19</v>
      </c>
    </row>
    <row r="30" spans="1:17">
      <c r="A30" s="5" t="s">
        <v>283</v>
      </c>
      <c r="B30" s="5" t="s">
        <v>232</v>
      </c>
      <c r="C30" s="5" t="s">
        <v>348</v>
      </c>
      <c r="D30" s="5" t="s">
        <v>352</v>
      </c>
      <c r="E30" s="5" t="s">
        <v>353</v>
      </c>
      <c r="F30" s="6">
        <v>38</v>
      </c>
      <c r="G30" s="6">
        <v>16</v>
      </c>
      <c r="H30" s="7">
        <f>IF(F30&gt;0,G30/F30,"n/a")</f>
        <v>0.42100000000000004</v>
      </c>
      <c r="I30" s="6">
        <f>MAX(F30-G30,0)</f>
        <v>22</v>
      </c>
      <c r="J30" s="6">
        <f>MAX(G30-F30,0)</f>
        <v>0</v>
      </c>
      <c r="K30" s="7">
        <v>1</v>
      </c>
      <c r="L30" s="5" t="s">
        <v>68</v>
      </c>
      <c r="M30" s="14" t="s">
        <v>925</v>
      </c>
      <c r="N30" s="16" t="s">
        <v>19</v>
      </c>
      <c r="O30" s="17" t="s">
        <v>19</v>
      </c>
      <c r="P30" s="16" t="s">
        <v>919</v>
      </c>
      <c r="Q30" s="16" t="s">
        <v>19</v>
      </c>
    </row>
    <row r="31" spans="1:17">
      <c r="A31" s="5" t="s">
        <v>283</v>
      </c>
      <c r="B31" s="5" t="s">
        <v>232</v>
      </c>
      <c r="C31" s="5" t="s">
        <v>294</v>
      </c>
      <c r="D31" s="5" t="s">
        <v>297</v>
      </c>
      <c r="E31" s="5" t="s">
        <v>298</v>
      </c>
      <c r="F31" s="6">
        <v>22</v>
      </c>
      <c r="G31" s="6">
        <v>10</v>
      </c>
      <c r="H31" s="7">
        <f>IF(F31&gt;0,G31/F31,"n/a")</f>
        <v>0.455</v>
      </c>
      <c r="I31" s="6">
        <f>MAX(F31-G31,0)</f>
        <v>12</v>
      </c>
      <c r="J31" s="6">
        <f>MAX(G31-F31,0)</f>
        <v>0</v>
      </c>
      <c r="K31" s="7">
        <v>0.333</v>
      </c>
      <c r="L31" s="5" t="s">
        <v>46</v>
      </c>
      <c r="M31" s="14" t="s">
        <v>926</v>
      </c>
      <c r="N31" s="16" t="s">
        <v>19</v>
      </c>
      <c r="O31" s="17" t="s">
        <v>19</v>
      </c>
      <c r="P31" s="16" t="s">
        <v>919</v>
      </c>
      <c r="Q31" s="16" t="s">
        <v>19</v>
      </c>
    </row>
    <row r="32" spans="1:17">
      <c r="A32" s="5" t="s">
        <v>283</v>
      </c>
      <c r="B32" s="5" t="s">
        <v>26</v>
      </c>
      <c r="C32" s="5" t="s">
        <v>294</v>
      </c>
      <c r="D32" s="5" t="s">
        <v>321</v>
      </c>
      <c r="E32" s="5" t="s">
        <v>322</v>
      </c>
      <c r="F32" s="6">
        <v>118</v>
      </c>
      <c r="G32" s="6">
        <v>136</v>
      </c>
      <c r="H32" s="7">
        <f>IF(F32&gt;0,G32/F32,"n/a")</f>
        <v>1.153</v>
      </c>
      <c r="I32" s="6">
        <f>MAX(F32-G32,0)</f>
        <v>0</v>
      </c>
      <c r="J32" s="6">
        <f>MAX(G32-F32,0)</f>
        <v>18</v>
      </c>
      <c r="K32" s="7">
        <v>0.9670000000000001</v>
      </c>
      <c r="L32" s="5" t="s">
        <v>20</v>
      </c>
      <c r="M32" s="14" t="s">
        <v>921</v>
      </c>
      <c r="N32" s="16" t="s">
        <v>19</v>
      </c>
      <c r="O32" s="17" t="s">
        <v>19</v>
      </c>
      <c r="P32" s="16" t="s">
        <v>919</v>
      </c>
      <c r="Q32" s="16" t="s">
        <v>19</v>
      </c>
    </row>
    <row r="33" spans="1:17">
      <c r="A33" s="5" t="s">
        <v>283</v>
      </c>
      <c r="B33" s="5" t="s">
        <v>26</v>
      </c>
      <c r="C33" s="5" t="s">
        <v>284</v>
      </c>
      <c r="D33" s="5" t="s">
        <v>290</v>
      </c>
      <c r="E33" s="5" t="s">
        <v>291</v>
      </c>
      <c r="F33" s="6">
        <v>24</v>
      </c>
      <c r="G33" s="6">
        <v>30</v>
      </c>
      <c r="H33" s="7">
        <f>IF(F33&gt;0,G33/F33,"n/a")</f>
        <v>1.25</v>
      </c>
      <c r="I33" s="6">
        <f>MAX(F33-G33,0)</f>
        <v>0</v>
      </c>
      <c r="J33" s="6">
        <f>MAX(G33-F33,0)</f>
        <v>6</v>
      </c>
      <c r="K33" s="7">
        <v>1</v>
      </c>
      <c r="L33" s="5" t="s">
        <v>20</v>
      </c>
      <c r="M33" s="14" t="s">
        <v>921</v>
      </c>
      <c r="N33" s="16" t="s">
        <v>19</v>
      </c>
      <c r="O33" s="17" t="s">
        <v>19</v>
      </c>
      <c r="P33" s="16" t="s">
        <v>919</v>
      </c>
      <c r="Q33" s="16" t="s">
        <v>19</v>
      </c>
    </row>
    <row r="34" spans="1:17">
      <c r="A34" s="5" t="s">
        <v>283</v>
      </c>
      <c r="B34" s="5" t="s">
        <v>385</v>
      </c>
      <c r="C34" s="5" t="s">
        <v>370</v>
      </c>
      <c r="D34" s="5" t="s">
        <v>383</v>
      </c>
      <c r="E34" s="5" t="s">
        <v>384</v>
      </c>
      <c r="F34" s="6">
        <v>86</v>
      </c>
      <c r="G34" s="6">
        <v>88</v>
      </c>
      <c r="H34" s="7">
        <f>IF(F34&gt;0,G34/F34,"n/a")</f>
        <v>1.023</v>
      </c>
      <c r="I34" s="6">
        <f>MAX(F34-G34,0)</f>
        <v>0</v>
      </c>
      <c r="J34" s="6">
        <f>MAX(G34-F34,0)</f>
        <v>2</v>
      </c>
      <c r="K34" s="7">
        <v>1</v>
      </c>
      <c r="L34" s="5" t="s">
        <v>20</v>
      </c>
      <c r="M34" s="14" t="s">
        <v>927</v>
      </c>
      <c r="N34" s="16" t="s">
        <v>19</v>
      </c>
      <c r="O34" s="17" t="s">
        <v>19</v>
      </c>
      <c r="P34" s="16" t="s">
        <v>919</v>
      </c>
      <c r="Q34" s="16" t="s">
        <v>19</v>
      </c>
    </row>
    <row r="35" spans="1:17">
      <c r="A35" s="5" t="s">
        <v>283</v>
      </c>
      <c r="B35" s="5" t="s">
        <v>45</v>
      </c>
      <c r="C35" s="5" t="s">
        <v>294</v>
      </c>
      <c r="D35" s="5" t="s">
        <v>329</v>
      </c>
      <c r="E35" s="5" t="s">
        <v>330</v>
      </c>
      <c r="F35" s="6">
        <v>170</v>
      </c>
      <c r="G35" s="6">
        <v>132</v>
      </c>
      <c r="H35" s="7">
        <f>IF(F35&gt;0,G35/F35,"n/a")</f>
        <v>0.7759999999999999</v>
      </c>
      <c r="I35" s="6">
        <f>MAX(F35-G35,0)</f>
        <v>38</v>
      </c>
      <c r="J35" s="6">
        <f>MAX(G35-F35,0)</f>
        <v>0</v>
      </c>
      <c r="K35" s="7">
        <v>1</v>
      </c>
      <c r="L35" s="5" t="s">
        <v>68</v>
      </c>
      <c r="M35" s="14" t="s">
        <v>922</v>
      </c>
      <c r="N35" s="16" t="s">
        <v>19</v>
      </c>
      <c r="O35" s="17" t="s">
        <v>19</v>
      </c>
      <c r="P35" s="16" t="s">
        <v>919</v>
      </c>
      <c r="Q35" s="16" t="s">
        <v>19</v>
      </c>
    </row>
    <row r="36" spans="1:17">
      <c r="A36" s="5" t="s">
        <v>283</v>
      </c>
      <c r="B36" s="5" t="s">
        <v>45</v>
      </c>
      <c r="C36" s="5" t="s">
        <v>294</v>
      </c>
      <c r="D36" s="5" t="s">
        <v>295</v>
      </c>
      <c r="E36" s="5" t="s">
        <v>296</v>
      </c>
      <c r="F36" s="6">
        <v>140</v>
      </c>
      <c r="G36" s="6">
        <v>105</v>
      </c>
      <c r="H36" s="7">
        <f>IF(F36&gt;0,G36/F36,"n/a")</f>
        <v>0.75</v>
      </c>
      <c r="I36" s="6">
        <f>MAX(F36-G36,0)</f>
        <v>35</v>
      </c>
      <c r="J36" s="6">
        <f>MAX(G36-F36,0)</f>
        <v>0</v>
      </c>
      <c r="K36" s="7">
        <v>0.89</v>
      </c>
      <c r="L36" s="5" t="s">
        <v>68</v>
      </c>
      <c r="M36" s="14" t="s">
        <v>922</v>
      </c>
      <c r="N36" s="16" t="s">
        <v>19</v>
      </c>
      <c r="O36" s="17" t="s">
        <v>19</v>
      </c>
      <c r="P36" s="16" t="s">
        <v>919</v>
      </c>
      <c r="Q36" s="16" t="s">
        <v>19</v>
      </c>
    </row>
    <row r="37" spans="1:17">
      <c r="A37" s="5" t="s">
        <v>283</v>
      </c>
      <c r="B37" s="5" t="s">
        <v>45</v>
      </c>
      <c r="C37" s="5" t="s">
        <v>294</v>
      </c>
      <c r="D37" s="5" t="s">
        <v>305</v>
      </c>
      <c r="E37" s="5" t="s">
        <v>306</v>
      </c>
      <c r="F37" s="6">
        <v>72</v>
      </c>
      <c r="G37" s="6">
        <v>49</v>
      </c>
      <c r="H37" s="7">
        <f>IF(F37&gt;0,G37/F37,"n/a")</f>
        <v>0.6809999999999999</v>
      </c>
      <c r="I37" s="6">
        <f>MAX(F37-G37,0)</f>
        <v>23</v>
      </c>
      <c r="J37" s="6">
        <f>MAX(G37-F37,0)</f>
        <v>0</v>
      </c>
      <c r="K37" s="7">
        <v>0.532</v>
      </c>
      <c r="L37" s="5" t="s">
        <v>46</v>
      </c>
      <c r="M37" s="14" t="s">
        <v>923</v>
      </c>
      <c r="N37" s="16" t="s">
        <v>19</v>
      </c>
      <c r="O37" s="17" t="s">
        <v>19</v>
      </c>
      <c r="P37" s="16" t="s">
        <v>919</v>
      </c>
      <c r="Q37" s="16" t="s">
        <v>19</v>
      </c>
    </row>
    <row r="38" spans="1:17">
      <c r="A38" s="5" t="s">
        <v>283</v>
      </c>
      <c r="B38" s="5" t="s">
        <v>45</v>
      </c>
      <c r="C38" s="5" t="s">
        <v>294</v>
      </c>
      <c r="D38" s="5" t="s">
        <v>299</v>
      </c>
      <c r="E38" s="5" t="s">
        <v>300</v>
      </c>
      <c r="F38" s="6">
        <v>57</v>
      </c>
      <c r="G38" s="6">
        <v>45</v>
      </c>
      <c r="H38" s="7">
        <f>IF(F38&gt;0,G38/F38,"n/a")</f>
        <v>0.789</v>
      </c>
      <c r="I38" s="6">
        <f>MAX(F38-G38,0)</f>
        <v>12</v>
      </c>
      <c r="J38" s="6">
        <f>MAX(G38-F38,0)</f>
        <v>0</v>
      </c>
      <c r="K38" s="7">
        <v>0.455</v>
      </c>
      <c r="L38" s="5" t="s">
        <v>46</v>
      </c>
      <c r="M38" s="14" t="s">
        <v>923</v>
      </c>
      <c r="N38" s="16" t="s">
        <v>19</v>
      </c>
      <c r="O38" s="17" t="s">
        <v>19</v>
      </c>
      <c r="P38" s="16" t="s">
        <v>919</v>
      </c>
      <c r="Q38" s="16" t="s">
        <v>19</v>
      </c>
    </row>
    <row r="39" spans="1:17">
      <c r="A39" s="5" t="s">
        <v>283</v>
      </c>
      <c r="B39" s="5" t="s">
        <v>45</v>
      </c>
      <c r="C39" s="5" t="s">
        <v>294</v>
      </c>
      <c r="D39" s="5" t="s">
        <v>301</v>
      </c>
      <c r="E39" s="5" t="s">
        <v>302</v>
      </c>
      <c r="F39" s="6">
        <v>25</v>
      </c>
      <c r="G39" s="6">
        <v>17</v>
      </c>
      <c r="H39" s="7">
        <f>IF(F39&gt;0,G39/F39,"n/a")</f>
        <v>0.68</v>
      </c>
      <c r="I39" s="6">
        <f>MAX(F39-G39,0)</f>
        <v>8</v>
      </c>
      <c r="J39" s="6">
        <f>MAX(G39-F39,0)</f>
        <v>0</v>
      </c>
      <c r="K39" s="7">
        <v>0.846</v>
      </c>
      <c r="L39" s="5" t="s">
        <v>68</v>
      </c>
      <c r="M39" s="14" t="s">
        <v>922</v>
      </c>
      <c r="N39" s="16" t="s">
        <v>19</v>
      </c>
      <c r="O39" s="17" t="s">
        <v>19</v>
      </c>
      <c r="P39" s="16" t="s">
        <v>919</v>
      </c>
      <c r="Q39" s="16" t="s">
        <v>19</v>
      </c>
    </row>
    <row r="40" spans="1:17">
      <c r="A40" s="5" t="s">
        <v>588</v>
      </c>
      <c r="B40" s="5" t="s">
        <v>67</v>
      </c>
      <c r="C40" s="5" t="s">
        <v>680</v>
      </c>
      <c r="D40" s="5" t="s">
        <v>687</v>
      </c>
      <c r="E40" s="5" t="s">
        <v>688</v>
      </c>
      <c r="F40" s="6">
        <v>3</v>
      </c>
      <c r="G40" s="6">
        <v>0</v>
      </c>
      <c r="H40" s="7">
        <f>IF(F40&gt;0,G40/F40,"n/a")</f>
        <v>0.0</v>
      </c>
      <c r="I40" s="6">
        <f>MAX(F40-G40,0)</f>
        <v>3</v>
      </c>
      <c r="J40" s="6">
        <f>MAX(G40-F40,0)</f>
        <v>0</v>
      </c>
      <c r="K40" s="7">
        <v>1</v>
      </c>
      <c r="L40" s="5" t="s">
        <v>68</v>
      </c>
      <c r="M40" s="14" t="s">
        <v>918</v>
      </c>
      <c r="N40" s="16" t="s">
        <v>19</v>
      </c>
      <c r="O40" s="17" t="s">
        <v>19</v>
      </c>
      <c r="P40" s="16" t="s">
        <v>919</v>
      </c>
      <c r="Q40" s="16" t="s">
        <v>19</v>
      </c>
    </row>
    <row r="41" spans="1:17">
      <c r="A41" s="5" t="s">
        <v>588</v>
      </c>
      <c r="B41" s="5" t="s">
        <v>26</v>
      </c>
      <c r="C41" s="5" t="s">
        <v>589</v>
      </c>
      <c r="D41" s="5" t="s">
        <v>592</v>
      </c>
      <c r="E41" s="5" t="s">
        <v>593</v>
      </c>
      <c r="F41" s="6">
        <v>72</v>
      </c>
      <c r="G41" s="6">
        <v>89</v>
      </c>
      <c r="H41" s="7">
        <f>IF(F41&gt;0,G41/F41,"n/a")</f>
        <v>1.236</v>
      </c>
      <c r="I41" s="6">
        <f>MAX(F41-G41,0)</f>
        <v>0</v>
      </c>
      <c r="J41" s="6">
        <f>MAX(G41-F41,0)</f>
        <v>17</v>
      </c>
      <c r="K41" s="7">
        <v>0.9570000000000001</v>
      </c>
      <c r="L41" s="5" t="s">
        <v>20</v>
      </c>
      <c r="M41" s="14" t="s">
        <v>921</v>
      </c>
      <c r="N41" s="16" t="s">
        <v>19</v>
      </c>
      <c r="O41" s="17" t="s">
        <v>19</v>
      </c>
      <c r="P41" s="16" t="s">
        <v>919</v>
      </c>
      <c r="Q41" s="16" t="s">
        <v>19</v>
      </c>
    </row>
    <row r="42" spans="1:17">
      <c r="A42" s="5" t="s">
        <v>588</v>
      </c>
      <c r="B42" s="5" t="s">
        <v>26</v>
      </c>
      <c r="C42" s="5" t="s">
        <v>649</v>
      </c>
      <c r="D42" s="5" t="s">
        <v>660</v>
      </c>
      <c r="E42" s="5" t="s">
        <v>661</v>
      </c>
      <c r="F42" s="6">
        <v>48</v>
      </c>
      <c r="G42" s="6">
        <v>63</v>
      </c>
      <c r="H42" s="7">
        <f>IF(F42&gt;0,G42/F42,"n/a")</f>
        <v>1.3119999999999998</v>
      </c>
      <c r="I42" s="6">
        <f>MAX(F42-G42,0)</f>
        <v>0</v>
      </c>
      <c r="J42" s="6">
        <f>MAX(G42-F42,0)</f>
        <v>15</v>
      </c>
      <c r="K42" s="7">
        <v>0.951</v>
      </c>
      <c r="L42" s="5" t="s">
        <v>20</v>
      </c>
      <c r="M42" s="14" t="s">
        <v>921</v>
      </c>
      <c r="N42" s="16" t="s">
        <v>19</v>
      </c>
      <c r="O42" s="17" t="s">
        <v>19</v>
      </c>
      <c r="P42" s="16" t="s">
        <v>919</v>
      </c>
      <c r="Q42" s="16" t="s">
        <v>19</v>
      </c>
    </row>
    <row r="43" spans="1:17">
      <c r="A43" s="5" t="s">
        <v>588</v>
      </c>
      <c r="B43" s="5" t="s">
        <v>244</v>
      </c>
      <c r="C43" s="5" t="s">
        <v>680</v>
      </c>
      <c r="D43" s="5" t="s">
        <v>695</v>
      </c>
      <c r="E43" s="5" t="s">
        <v>696</v>
      </c>
      <c r="F43" s="6">
        <v>0</v>
      </c>
      <c r="G43" s="6">
        <v>9</v>
      </c>
      <c r="H43" s="7" t="str">
        <f>IF(F43&gt;0,G43/F43,"n/a")</f>
        <v>n/a</v>
      </c>
      <c r="I43" s="6">
        <f>MAX(F43-G43,0)</f>
        <v>0</v>
      </c>
      <c r="J43" s="6">
        <f>MAX(G43-F43,0)</f>
        <v>9</v>
      </c>
      <c r="K43" s="7" t="s">
        <v>928</v>
      </c>
      <c r="L43" s="5" t="s">
        <v>100</v>
      </c>
      <c r="M43" s="14" t="s">
        <v>929</v>
      </c>
      <c r="N43" s="16" t="s">
        <v>19</v>
      </c>
      <c r="O43" s="17" t="s">
        <v>19</v>
      </c>
      <c r="P43" s="16" t="s">
        <v>919</v>
      </c>
      <c r="Q43" s="16" t="s">
        <v>19</v>
      </c>
    </row>
    <row r="44" spans="1:17">
      <c r="A44" s="5" t="s">
        <v>588</v>
      </c>
      <c r="B44" s="5" t="s">
        <v>244</v>
      </c>
      <c r="C44" s="5" t="s">
        <v>680</v>
      </c>
      <c r="D44" s="5" t="s">
        <v>697</v>
      </c>
      <c r="E44" s="5" t="s">
        <v>698</v>
      </c>
      <c r="F44" s="6">
        <v>0</v>
      </c>
      <c r="G44" s="6">
        <v>6</v>
      </c>
      <c r="H44" s="7" t="str">
        <f>IF(F44&gt;0,G44/F44,"n/a")</f>
        <v>n/a</v>
      </c>
      <c r="I44" s="6">
        <f>MAX(F44-G44,0)</f>
        <v>0</v>
      </c>
      <c r="J44" s="6">
        <f>MAX(G44-F44,0)</f>
        <v>6</v>
      </c>
      <c r="K44" s="7" t="s">
        <v>928</v>
      </c>
      <c r="L44" s="5" t="s">
        <v>100</v>
      </c>
      <c r="M44" s="14" t="s">
        <v>929</v>
      </c>
      <c r="N44" s="16" t="s">
        <v>19</v>
      </c>
      <c r="O44" s="17" t="s">
        <v>19</v>
      </c>
      <c r="P44" s="16" t="s">
        <v>919</v>
      </c>
      <c r="Q44" s="16" t="s">
        <v>19</v>
      </c>
    </row>
    <row r="45" spans="1:17">
      <c r="A45" s="5" t="s">
        <v>588</v>
      </c>
      <c r="B45" s="5" t="s">
        <v>26</v>
      </c>
      <c r="C45" s="5" t="s">
        <v>589</v>
      </c>
      <c r="D45" s="5" t="s">
        <v>610</v>
      </c>
      <c r="E45" s="5" t="s">
        <v>611</v>
      </c>
      <c r="F45" s="6">
        <v>30</v>
      </c>
      <c r="G45" s="6">
        <v>33</v>
      </c>
      <c r="H45" s="7">
        <f>IF(F45&gt;0,G45/F45,"n/a")</f>
        <v>1.1</v>
      </c>
      <c r="I45" s="6">
        <f>MAX(F45-G45,0)</f>
        <v>0</v>
      </c>
      <c r="J45" s="6">
        <f>MAX(G45-F45,0)</f>
        <v>3</v>
      </c>
      <c r="K45" s="7">
        <v>1</v>
      </c>
      <c r="L45" s="5" t="s">
        <v>20</v>
      </c>
      <c r="M45" s="14" t="s">
        <v>921</v>
      </c>
      <c r="N45" s="16" t="s">
        <v>19</v>
      </c>
      <c r="O45" s="17" t="s">
        <v>19</v>
      </c>
      <c r="P45" s="16" t="s">
        <v>919</v>
      </c>
      <c r="Q45" s="16" t="s">
        <v>19</v>
      </c>
    </row>
    <row r="46" spans="1:17">
      <c r="A46" s="5" t="s">
        <v>588</v>
      </c>
      <c r="B46" s="5" t="s">
        <v>26</v>
      </c>
      <c r="C46" s="5" t="s">
        <v>649</v>
      </c>
      <c r="D46" s="5" t="s">
        <v>678</v>
      </c>
      <c r="E46" s="5" t="s">
        <v>679</v>
      </c>
      <c r="F46" s="6">
        <v>13</v>
      </c>
      <c r="G46" s="6">
        <v>16</v>
      </c>
      <c r="H46" s="7">
        <f>IF(F46&gt;0,G46/F46,"n/a")</f>
        <v>1.2309999999999999</v>
      </c>
      <c r="I46" s="6">
        <f>MAX(F46-G46,0)</f>
        <v>0</v>
      </c>
      <c r="J46" s="6">
        <f>MAX(G46-F46,0)</f>
        <v>3</v>
      </c>
      <c r="K46" s="7">
        <v>0.286</v>
      </c>
      <c r="L46" s="5" t="s">
        <v>23</v>
      </c>
      <c r="M46" s="14" t="s">
        <v>921</v>
      </c>
      <c r="N46" s="16" t="s">
        <v>19</v>
      </c>
      <c r="O46" s="17" t="s">
        <v>19</v>
      </c>
      <c r="P46" s="16" t="s">
        <v>919</v>
      </c>
      <c r="Q46" s="16" t="s">
        <v>19</v>
      </c>
    </row>
    <row r="47" spans="1:17">
      <c r="A47" s="5" t="s">
        <v>588</v>
      </c>
      <c r="B47" s="5" t="s">
        <v>45</v>
      </c>
      <c r="C47" s="5" t="s">
        <v>649</v>
      </c>
      <c r="D47" s="5" t="s">
        <v>656</v>
      </c>
      <c r="E47" s="5" t="s">
        <v>657</v>
      </c>
      <c r="F47" s="6">
        <v>65</v>
      </c>
      <c r="G47" s="6">
        <v>46</v>
      </c>
      <c r="H47" s="7">
        <f>IF(F47&gt;0,G47/F47,"n/a")</f>
        <v>0.708</v>
      </c>
      <c r="I47" s="6">
        <f>MAX(F47-G47,0)</f>
        <v>19</v>
      </c>
      <c r="J47" s="6">
        <f>MAX(G47-F47,0)</f>
        <v>0</v>
      </c>
      <c r="K47" s="7">
        <v>1.026</v>
      </c>
      <c r="L47" s="5" t="s">
        <v>68</v>
      </c>
      <c r="M47" s="14" t="s">
        <v>922</v>
      </c>
      <c r="N47" s="16" t="s">
        <v>19</v>
      </c>
      <c r="O47" s="17" t="s">
        <v>19</v>
      </c>
      <c r="P47" s="16" t="s">
        <v>919</v>
      </c>
      <c r="Q47" s="16" t="s">
        <v>19</v>
      </c>
    </row>
    <row r="48" spans="1:17">
      <c r="A48" s="5" t="s">
        <v>588</v>
      </c>
      <c r="B48" s="5" t="s">
        <v>45</v>
      </c>
      <c r="C48" s="5" t="s">
        <v>649</v>
      </c>
      <c r="D48" s="5" t="s">
        <v>658</v>
      </c>
      <c r="E48" s="5" t="s">
        <v>659</v>
      </c>
      <c r="F48" s="6">
        <v>60</v>
      </c>
      <c r="G48" s="6">
        <v>47</v>
      </c>
      <c r="H48" s="7">
        <f>IF(F48&gt;0,G48/F48,"n/a")</f>
        <v>0.7829999999999999</v>
      </c>
      <c r="I48" s="6">
        <f>MAX(F48-G48,0)</f>
        <v>13</v>
      </c>
      <c r="J48" s="6">
        <f>MAX(G48-F48,0)</f>
        <v>0</v>
      </c>
      <c r="K48" s="7">
        <v>1</v>
      </c>
      <c r="L48" s="5" t="s">
        <v>68</v>
      </c>
      <c r="M48" s="14" t="s">
        <v>922</v>
      </c>
      <c r="N48" s="16" t="s">
        <v>19</v>
      </c>
      <c r="O48" s="17" t="s">
        <v>19</v>
      </c>
      <c r="P48" s="16" t="s">
        <v>919</v>
      </c>
      <c r="Q48" s="16" t="s">
        <v>19</v>
      </c>
    </row>
    <row r="49" spans="1:17">
      <c r="A49" s="5" t="s">
        <v>144</v>
      </c>
      <c r="B49" s="5" t="s">
        <v>26</v>
      </c>
      <c r="C49" s="5" t="s">
        <v>145</v>
      </c>
      <c r="D49" s="5" t="s">
        <v>146</v>
      </c>
      <c r="E49" s="5" t="s">
        <v>147</v>
      </c>
      <c r="F49" s="6">
        <v>55</v>
      </c>
      <c r="G49" s="6">
        <v>99</v>
      </c>
      <c r="H49" s="7">
        <f>IF(F49&gt;0,G49/F49,"n/a")</f>
        <v>1.8</v>
      </c>
      <c r="I49" s="6">
        <f>MAX(F49-G49,0)</f>
        <v>0</v>
      </c>
      <c r="J49" s="6">
        <f>MAX(G49-F49,0)</f>
        <v>44</v>
      </c>
      <c r="K49" s="7">
        <v>1</v>
      </c>
      <c r="L49" s="5" t="s">
        <v>20</v>
      </c>
      <c r="M49" s="14" t="s">
        <v>921</v>
      </c>
      <c r="N49" s="16" t="s">
        <v>19</v>
      </c>
      <c r="O49" s="17" t="s">
        <v>19</v>
      </c>
      <c r="P49" s="16" t="s">
        <v>919</v>
      </c>
      <c r="Q49" s="16" t="s">
        <v>19</v>
      </c>
    </row>
    <row r="50" spans="1:17">
      <c r="A50" s="5" t="s">
        <v>144</v>
      </c>
      <c r="B50" s="5" t="s">
        <v>26</v>
      </c>
      <c r="C50" s="5" t="s">
        <v>206</v>
      </c>
      <c r="D50" s="5" t="s">
        <v>209</v>
      </c>
      <c r="E50" s="5" t="s">
        <v>210</v>
      </c>
      <c r="F50" s="6">
        <v>120</v>
      </c>
      <c r="G50" s="6">
        <v>146</v>
      </c>
      <c r="H50" s="7">
        <f>IF(F50&gt;0,G50/F50,"n/a")</f>
        <v>1.217</v>
      </c>
      <c r="I50" s="6">
        <f>MAX(F50-G50,0)</f>
        <v>0</v>
      </c>
      <c r="J50" s="6">
        <f>MAX(G50-F50,0)</f>
        <v>26</v>
      </c>
      <c r="K50" s="7">
        <v>1</v>
      </c>
      <c r="L50" s="5" t="s">
        <v>20</v>
      </c>
      <c r="M50" s="14" t="s">
        <v>921</v>
      </c>
      <c r="N50" s="16" t="s">
        <v>19</v>
      </c>
      <c r="O50" s="17" t="s">
        <v>19</v>
      </c>
      <c r="P50" s="16" t="s">
        <v>919</v>
      </c>
      <c r="Q50" s="16" t="s">
        <v>19</v>
      </c>
    </row>
    <row r="51" spans="1:17">
      <c r="A51" s="5" t="s">
        <v>144</v>
      </c>
      <c r="B51" s="5" t="s">
        <v>26</v>
      </c>
      <c r="C51" s="5" t="s">
        <v>145</v>
      </c>
      <c r="D51" s="5" t="s">
        <v>156</v>
      </c>
      <c r="E51" s="5" t="s">
        <v>157</v>
      </c>
      <c r="F51" s="6">
        <v>168</v>
      </c>
      <c r="G51" s="6">
        <v>185</v>
      </c>
      <c r="H51" s="7">
        <f>IF(F51&gt;0,G51/F51,"n/a")</f>
        <v>1.101</v>
      </c>
      <c r="I51" s="6">
        <f>MAX(F51-G51,0)</f>
        <v>0</v>
      </c>
      <c r="J51" s="6">
        <f>MAX(G51-F51,0)</f>
        <v>17</v>
      </c>
      <c r="K51" s="7">
        <v>1</v>
      </c>
      <c r="L51" s="5" t="s">
        <v>20</v>
      </c>
      <c r="M51" s="14" t="s">
        <v>921</v>
      </c>
      <c r="N51" s="16" t="s">
        <v>19</v>
      </c>
      <c r="O51" s="17" t="s">
        <v>19</v>
      </c>
      <c r="P51" s="16" t="s">
        <v>919</v>
      </c>
      <c r="Q51" s="16" t="s">
        <v>19</v>
      </c>
    </row>
    <row r="52" spans="1:17">
      <c r="A52" s="5" t="s">
        <v>144</v>
      </c>
      <c r="B52" s="5" t="s">
        <v>26</v>
      </c>
      <c r="C52" s="5" t="s">
        <v>145</v>
      </c>
      <c r="D52" s="5" t="s">
        <v>148</v>
      </c>
      <c r="E52" s="5" t="s">
        <v>149</v>
      </c>
      <c r="F52" s="6">
        <v>44</v>
      </c>
      <c r="G52" s="6">
        <v>57</v>
      </c>
      <c r="H52" s="7">
        <f>IF(F52&gt;0,G52/F52,"n/a")</f>
        <v>1.295</v>
      </c>
      <c r="I52" s="6">
        <f>MAX(F52-G52,0)</f>
        <v>0</v>
      </c>
      <c r="J52" s="6">
        <f>MAX(G52-F52,0)</f>
        <v>13</v>
      </c>
      <c r="K52" s="7">
        <v>1</v>
      </c>
      <c r="L52" s="5" t="s">
        <v>20</v>
      </c>
      <c r="M52" s="14" t="s">
        <v>921</v>
      </c>
      <c r="N52" s="16" t="s">
        <v>19</v>
      </c>
      <c r="O52" s="17" t="s">
        <v>19</v>
      </c>
      <c r="P52" s="16" t="s">
        <v>919</v>
      </c>
      <c r="Q52" s="16" t="s">
        <v>19</v>
      </c>
    </row>
    <row r="53" spans="1:17">
      <c r="A53" s="5" t="s">
        <v>144</v>
      </c>
      <c r="B53" s="5" t="s">
        <v>26</v>
      </c>
      <c r="C53" s="5" t="s">
        <v>145</v>
      </c>
      <c r="D53" s="5" t="s">
        <v>158</v>
      </c>
      <c r="E53" s="5" t="s">
        <v>159</v>
      </c>
      <c r="F53" s="6">
        <v>17</v>
      </c>
      <c r="G53" s="6">
        <v>21</v>
      </c>
      <c r="H53" s="7">
        <f>IF(F53&gt;0,G53/F53,"n/a")</f>
        <v>1.235</v>
      </c>
      <c r="I53" s="6">
        <f>MAX(F53-G53,0)</f>
        <v>0</v>
      </c>
      <c r="J53" s="6">
        <f>MAX(G53-F53,0)</f>
        <v>4</v>
      </c>
      <c r="K53" s="7">
        <v>1</v>
      </c>
      <c r="L53" s="5" t="s">
        <v>20</v>
      </c>
      <c r="M53" s="14" t="s">
        <v>921</v>
      </c>
      <c r="N53" s="16" t="s">
        <v>19</v>
      </c>
      <c r="O53" s="17" t="s">
        <v>19</v>
      </c>
      <c r="P53" s="16" t="s">
        <v>919</v>
      </c>
      <c r="Q53" s="16" t="s">
        <v>19</v>
      </c>
    </row>
    <row r="54" spans="1:17">
      <c r="A54" s="5" t="s">
        <v>144</v>
      </c>
      <c r="B54" s="5" t="s">
        <v>45</v>
      </c>
      <c r="C54" s="5" t="s">
        <v>183</v>
      </c>
      <c r="D54" s="5" t="s">
        <v>186</v>
      </c>
      <c r="E54" s="5" t="s">
        <v>187</v>
      </c>
      <c r="F54" s="6">
        <v>85</v>
      </c>
      <c r="G54" s="6">
        <v>47</v>
      </c>
      <c r="H54" s="7">
        <f>IF(F54&gt;0,G54/F54,"n/a")</f>
        <v>0.5529999999999999</v>
      </c>
      <c r="I54" s="6">
        <f>MAX(F54-G54,0)</f>
        <v>38</v>
      </c>
      <c r="J54" s="6">
        <f>MAX(G54-F54,0)</f>
        <v>0</v>
      </c>
      <c r="K54" s="7">
        <v>1</v>
      </c>
      <c r="L54" s="5" t="s">
        <v>68</v>
      </c>
      <c r="M54" s="14" t="s">
        <v>922</v>
      </c>
      <c r="N54" s="16" t="s">
        <v>19</v>
      </c>
      <c r="O54" s="17" t="s">
        <v>19</v>
      </c>
      <c r="P54" s="16" t="s">
        <v>919</v>
      </c>
      <c r="Q54" s="16" t="s">
        <v>19</v>
      </c>
    </row>
    <row r="55" spans="1:17">
      <c r="A55" s="5" t="s">
        <v>144</v>
      </c>
      <c r="B55" s="5" t="s">
        <v>45</v>
      </c>
      <c r="C55" s="5" t="s">
        <v>183</v>
      </c>
      <c r="D55" s="5" t="s">
        <v>192</v>
      </c>
      <c r="E55" s="5" t="s">
        <v>193</v>
      </c>
      <c r="F55" s="6">
        <v>138</v>
      </c>
      <c r="G55" s="6">
        <v>110</v>
      </c>
      <c r="H55" s="7">
        <f>IF(F55&gt;0,G55/F55,"n/a")</f>
        <v>0.797</v>
      </c>
      <c r="I55" s="6">
        <f>MAX(F55-G55,0)</f>
        <v>28</v>
      </c>
      <c r="J55" s="6">
        <f>MAX(G55-F55,0)</f>
        <v>0</v>
      </c>
      <c r="K55" s="7">
        <v>1</v>
      </c>
      <c r="L55" s="5" t="s">
        <v>68</v>
      </c>
      <c r="M55" s="14" t="s">
        <v>922</v>
      </c>
      <c r="N55" s="16" t="s">
        <v>19</v>
      </c>
      <c r="O55" s="17" t="s">
        <v>19</v>
      </c>
      <c r="P55" s="16" t="s">
        <v>919</v>
      </c>
      <c r="Q55" s="16" t="s">
        <v>19</v>
      </c>
    </row>
    <row r="56" spans="1:17">
      <c r="A56" s="5" t="s">
        <v>144</v>
      </c>
      <c r="B56" s="5" t="s">
        <v>45</v>
      </c>
      <c r="C56" s="5" t="s">
        <v>160</v>
      </c>
      <c r="D56" s="5" t="s">
        <v>165</v>
      </c>
      <c r="E56" s="5" t="s">
        <v>166</v>
      </c>
      <c r="F56" s="6">
        <v>110</v>
      </c>
      <c r="G56" s="6">
        <v>84</v>
      </c>
      <c r="H56" s="7">
        <f>IF(F56&gt;0,G56/F56,"n/a")</f>
        <v>0.764</v>
      </c>
      <c r="I56" s="6">
        <f>MAX(F56-G56,0)</f>
        <v>26</v>
      </c>
      <c r="J56" s="6">
        <f>MAX(G56-F56,0)</f>
        <v>0</v>
      </c>
      <c r="K56" s="7">
        <v>1</v>
      </c>
      <c r="L56" s="5" t="s">
        <v>68</v>
      </c>
      <c r="M56" s="14" t="s">
        <v>922</v>
      </c>
      <c r="N56" s="16" t="s">
        <v>19</v>
      </c>
      <c r="O56" s="17" t="s">
        <v>19</v>
      </c>
      <c r="P56" s="16" t="s">
        <v>919</v>
      </c>
      <c r="Q56" s="16" t="s">
        <v>19</v>
      </c>
    </row>
    <row r="57" spans="1:17">
      <c r="A57" s="5" t="s">
        <v>144</v>
      </c>
      <c r="B57" s="5" t="s">
        <v>45</v>
      </c>
      <c r="C57" s="5" t="s">
        <v>183</v>
      </c>
      <c r="D57" s="5" t="s">
        <v>188</v>
      </c>
      <c r="E57" s="5" t="s">
        <v>189</v>
      </c>
      <c r="F57" s="6">
        <v>110</v>
      </c>
      <c r="G57" s="6">
        <v>86</v>
      </c>
      <c r="H57" s="7">
        <f>IF(F57&gt;0,G57/F57,"n/a")</f>
        <v>0.782</v>
      </c>
      <c r="I57" s="6">
        <f>MAX(F57-G57,0)</f>
        <v>24</v>
      </c>
      <c r="J57" s="6">
        <f>MAX(G57-F57,0)</f>
        <v>0</v>
      </c>
      <c r="K57" s="7">
        <v>1</v>
      </c>
      <c r="L57" s="5" t="s">
        <v>68</v>
      </c>
      <c r="M57" s="14" t="s">
        <v>922</v>
      </c>
      <c r="N57" s="16" t="s">
        <v>19</v>
      </c>
      <c r="O57" s="17" t="s">
        <v>19</v>
      </c>
      <c r="P57" s="16" t="s">
        <v>919</v>
      </c>
      <c r="Q57" s="16" t="s">
        <v>19</v>
      </c>
    </row>
    <row r="58" spans="1:17">
      <c r="A58" s="5" t="s">
        <v>144</v>
      </c>
      <c r="B58" s="5" t="s">
        <v>45</v>
      </c>
      <c r="C58" s="5" t="s">
        <v>206</v>
      </c>
      <c r="D58" s="5" t="s">
        <v>213</v>
      </c>
      <c r="E58" s="5" t="s">
        <v>214</v>
      </c>
      <c r="F58" s="6">
        <v>55</v>
      </c>
      <c r="G58" s="6">
        <v>32</v>
      </c>
      <c r="H58" s="7">
        <f>IF(F58&gt;0,G58/F58,"n/a")</f>
        <v>0.5820000000000001</v>
      </c>
      <c r="I58" s="6">
        <f>MAX(F58-G58,0)</f>
        <v>23</v>
      </c>
      <c r="J58" s="6">
        <f>MAX(G58-F58,0)</f>
        <v>0</v>
      </c>
      <c r="K58" s="7">
        <v>1</v>
      </c>
      <c r="L58" s="5" t="s">
        <v>68</v>
      </c>
      <c r="M58" s="14" t="s">
        <v>922</v>
      </c>
      <c r="N58" s="16" t="s">
        <v>19</v>
      </c>
      <c r="O58" s="17" t="s">
        <v>19</v>
      </c>
      <c r="P58" s="16" t="s">
        <v>919</v>
      </c>
      <c r="Q58" s="16" t="s">
        <v>19</v>
      </c>
    </row>
    <row r="59" spans="1:17">
      <c r="A59" s="5" t="s">
        <v>587</v>
      </c>
      <c r="B59" s="5" t="s">
        <v>67</v>
      </c>
      <c r="C59" s="5" t="s">
        <v>699</v>
      </c>
      <c r="D59" s="5" t="s">
        <v>760</v>
      </c>
      <c r="E59" s="5" t="s">
        <v>761</v>
      </c>
      <c r="F59" s="6">
        <v>353</v>
      </c>
      <c r="G59" s="6">
        <v>0</v>
      </c>
      <c r="H59" s="7">
        <f>IF(F59&gt;0,G59/F59,"n/a")</f>
        <v>0.0</v>
      </c>
      <c r="I59" s="6">
        <f>MAX(F59-G59,0)</f>
        <v>353</v>
      </c>
      <c r="J59" s="6">
        <f>MAX(G59-F59,0)</f>
        <v>0</v>
      </c>
      <c r="K59" s="7">
        <v>0.08599999999999999</v>
      </c>
      <c r="L59" s="5" t="s">
        <v>46</v>
      </c>
      <c r="M59" s="14" t="s">
        <v>920</v>
      </c>
      <c r="N59" s="16" t="s">
        <v>19</v>
      </c>
      <c r="O59" s="17" t="s">
        <v>19</v>
      </c>
      <c r="P59" s="16" t="s">
        <v>919</v>
      </c>
      <c r="Q59" s="16" t="s">
        <v>19</v>
      </c>
    </row>
    <row r="60" spans="1:17">
      <c r="A60" s="5" t="s">
        <v>587</v>
      </c>
      <c r="B60" s="5" t="s">
        <v>67</v>
      </c>
      <c r="C60" s="5" t="s">
        <v>871</v>
      </c>
      <c r="D60" s="5" t="s">
        <v>890</v>
      </c>
      <c r="E60" s="5" t="s">
        <v>891</v>
      </c>
      <c r="F60" s="6">
        <v>144</v>
      </c>
      <c r="G60" s="6">
        <v>0</v>
      </c>
      <c r="H60" s="7">
        <f>IF(F60&gt;0,G60/F60,"n/a")</f>
        <v>0.0</v>
      </c>
      <c r="I60" s="6">
        <f>MAX(F60-G60,0)</f>
        <v>144</v>
      </c>
      <c r="J60" s="6">
        <f>MAX(G60-F60,0)</f>
        <v>0</v>
      </c>
      <c r="K60" s="7">
        <v>0.388</v>
      </c>
      <c r="L60" s="5" t="s">
        <v>46</v>
      </c>
      <c r="M60" s="14" t="s">
        <v>920</v>
      </c>
      <c r="N60" s="16" t="s">
        <v>19</v>
      </c>
      <c r="O60" s="17" t="s">
        <v>19</v>
      </c>
      <c r="P60" s="16" t="s">
        <v>919</v>
      </c>
      <c r="Q60" s="16" t="s">
        <v>19</v>
      </c>
    </row>
    <row r="61" spans="1:17">
      <c r="A61" s="5" t="s">
        <v>587</v>
      </c>
      <c r="B61" s="5" t="s">
        <v>67</v>
      </c>
      <c r="C61" s="5" t="s">
        <v>699</v>
      </c>
      <c r="D61" s="5" t="s">
        <v>762</v>
      </c>
      <c r="E61" s="5" t="s">
        <v>763</v>
      </c>
      <c r="F61" s="6">
        <v>109</v>
      </c>
      <c r="G61" s="6">
        <v>0</v>
      </c>
      <c r="H61" s="7">
        <f>IF(F61&gt;0,G61/F61,"n/a")</f>
        <v>0.0</v>
      </c>
      <c r="I61" s="6">
        <f>MAX(F61-G61,0)</f>
        <v>109</v>
      </c>
      <c r="J61" s="6">
        <f>MAX(G61-F61,0)</f>
        <v>0</v>
      </c>
      <c r="K61" s="7">
        <v>0.4</v>
      </c>
      <c r="L61" s="5" t="s">
        <v>46</v>
      </c>
      <c r="M61" s="14" t="s">
        <v>920</v>
      </c>
      <c r="N61" s="16" t="s">
        <v>19</v>
      </c>
      <c r="O61" s="17" t="s">
        <v>19</v>
      </c>
      <c r="P61" s="16" t="s">
        <v>919</v>
      </c>
      <c r="Q61" s="16" t="s">
        <v>19</v>
      </c>
    </row>
    <row r="62" spans="1:17">
      <c r="A62" s="5" t="s">
        <v>587</v>
      </c>
      <c r="B62" s="5" t="s">
        <v>67</v>
      </c>
      <c r="C62" s="5" t="s">
        <v>766</v>
      </c>
      <c r="D62" s="5" t="s">
        <v>771</v>
      </c>
      <c r="E62" s="5" t="s">
        <v>772</v>
      </c>
      <c r="F62" s="6">
        <v>18</v>
      </c>
      <c r="G62" s="6">
        <v>0</v>
      </c>
      <c r="H62" s="7">
        <f>IF(F62&gt;0,G62/F62,"n/a")</f>
        <v>0.0</v>
      </c>
      <c r="I62" s="6">
        <f>MAX(F62-G62,0)</f>
        <v>18</v>
      </c>
      <c r="J62" s="6">
        <f>MAX(G62-F62,0)</f>
        <v>0</v>
      </c>
      <c r="K62" s="7">
        <v>1</v>
      </c>
      <c r="L62" s="5" t="s">
        <v>68</v>
      </c>
      <c r="M62" s="14" t="s">
        <v>918</v>
      </c>
      <c r="N62" s="16" t="s">
        <v>19</v>
      </c>
      <c r="O62" s="17" t="s">
        <v>19</v>
      </c>
      <c r="P62" s="16" t="s">
        <v>919</v>
      </c>
      <c r="Q62" s="16" t="s">
        <v>19</v>
      </c>
    </row>
    <row r="63" spans="1:17">
      <c r="A63" s="5" t="s">
        <v>587</v>
      </c>
      <c r="B63" s="5" t="s">
        <v>67</v>
      </c>
      <c r="C63" s="5" t="s">
        <v>699</v>
      </c>
      <c r="D63" s="5" t="s">
        <v>710</v>
      </c>
      <c r="E63" s="5" t="s">
        <v>711</v>
      </c>
      <c r="F63" s="6">
        <v>4</v>
      </c>
      <c r="G63" s="6">
        <v>0</v>
      </c>
      <c r="H63" s="7">
        <f>IF(F63&gt;0,G63/F63,"n/a")</f>
        <v>0.0</v>
      </c>
      <c r="I63" s="6">
        <f>MAX(F63-G63,0)</f>
        <v>4</v>
      </c>
      <c r="J63" s="6">
        <f>MAX(G63-F63,0)</f>
        <v>0</v>
      </c>
      <c r="K63" s="7">
        <v>1</v>
      </c>
      <c r="L63" s="5" t="s">
        <v>68</v>
      </c>
      <c r="M63" s="14" t="s">
        <v>918</v>
      </c>
      <c r="N63" s="16" t="s">
        <v>19</v>
      </c>
      <c r="O63" s="17" t="s">
        <v>19</v>
      </c>
      <c r="P63" s="16" t="s">
        <v>919</v>
      </c>
      <c r="Q63" s="16" t="s">
        <v>19</v>
      </c>
    </row>
    <row r="64" spans="1:17">
      <c r="A64" s="5" t="s">
        <v>587</v>
      </c>
      <c r="B64" s="5" t="s">
        <v>26</v>
      </c>
      <c r="C64" s="5" t="s">
        <v>796</v>
      </c>
      <c r="D64" s="5" t="s">
        <v>818</v>
      </c>
      <c r="E64" s="5" t="s">
        <v>819</v>
      </c>
      <c r="F64" s="6">
        <v>102</v>
      </c>
      <c r="G64" s="6">
        <v>253</v>
      </c>
      <c r="H64" s="7">
        <f>IF(F64&gt;0,G64/F64,"n/a")</f>
        <v>2.48</v>
      </c>
      <c r="I64" s="6">
        <f>MAX(F64-G64,0)</f>
        <v>0</v>
      </c>
      <c r="J64" s="6">
        <f>MAX(G64-F64,0)</f>
        <v>151</v>
      </c>
      <c r="K64" s="7">
        <v>0.4320000000000001</v>
      </c>
      <c r="L64" s="5" t="s">
        <v>23</v>
      </c>
      <c r="M64" s="14" t="s">
        <v>921</v>
      </c>
      <c r="N64" s="16" t="s">
        <v>19</v>
      </c>
      <c r="O64" s="17" t="s">
        <v>19</v>
      </c>
      <c r="P64" s="16" t="s">
        <v>919</v>
      </c>
      <c r="Q64" s="16" t="s">
        <v>19</v>
      </c>
    </row>
    <row r="65" spans="1:17">
      <c r="A65" s="5" t="s">
        <v>587</v>
      </c>
      <c r="B65" s="5" t="s">
        <v>26</v>
      </c>
      <c r="C65" s="5" t="s">
        <v>871</v>
      </c>
      <c r="D65" s="5" t="s">
        <v>894</v>
      </c>
      <c r="E65" s="5" t="s">
        <v>895</v>
      </c>
      <c r="F65" s="6">
        <v>143</v>
      </c>
      <c r="G65" s="6">
        <v>278</v>
      </c>
      <c r="H65" s="7">
        <f>IF(F65&gt;0,G65/F65,"n/a")</f>
        <v>1.944</v>
      </c>
      <c r="I65" s="6">
        <f>MAX(F65-G65,0)</f>
        <v>0</v>
      </c>
      <c r="J65" s="6">
        <f>MAX(G65-F65,0)</f>
        <v>135</v>
      </c>
      <c r="K65" s="7">
        <v>0.6850000000000001</v>
      </c>
      <c r="L65" s="5" t="s">
        <v>23</v>
      </c>
      <c r="M65" s="14" t="s">
        <v>921</v>
      </c>
      <c r="N65" s="16" t="s">
        <v>19</v>
      </c>
      <c r="O65" s="17" t="s">
        <v>19</v>
      </c>
      <c r="P65" s="16" t="s">
        <v>919</v>
      </c>
      <c r="Q65" s="16" t="s">
        <v>19</v>
      </c>
    </row>
    <row r="66" spans="1:17">
      <c r="A66" s="5" t="s">
        <v>587</v>
      </c>
      <c r="B66" s="5" t="s">
        <v>26</v>
      </c>
      <c r="C66" s="5" t="s">
        <v>699</v>
      </c>
      <c r="D66" s="5" t="s">
        <v>758</v>
      </c>
      <c r="E66" s="5" t="s">
        <v>759</v>
      </c>
      <c r="F66" s="6">
        <v>217</v>
      </c>
      <c r="G66" s="6">
        <v>240</v>
      </c>
      <c r="H66" s="7">
        <f>IF(F66&gt;0,G66/F66,"n/a")</f>
        <v>1.1059999999999999</v>
      </c>
      <c r="I66" s="6">
        <f>MAX(F66-G66,0)</f>
        <v>0</v>
      </c>
      <c r="J66" s="6">
        <f>MAX(G66-F66,0)</f>
        <v>23</v>
      </c>
      <c r="K66" s="7">
        <v>0.364</v>
      </c>
      <c r="L66" s="5" t="s">
        <v>23</v>
      </c>
      <c r="M66" s="14" t="s">
        <v>921</v>
      </c>
      <c r="N66" s="16" t="s">
        <v>19</v>
      </c>
      <c r="O66" s="17" t="s">
        <v>19</v>
      </c>
      <c r="P66" s="16" t="s">
        <v>919</v>
      </c>
      <c r="Q66" s="16" t="s">
        <v>19</v>
      </c>
    </row>
    <row r="67" spans="1:17">
      <c r="A67" s="5" t="s">
        <v>587</v>
      </c>
      <c r="B67" s="5" t="s">
        <v>26</v>
      </c>
      <c r="C67" s="5" t="s">
        <v>699</v>
      </c>
      <c r="D67" s="5" t="s">
        <v>752</v>
      </c>
      <c r="E67" s="5" t="s">
        <v>753</v>
      </c>
      <c r="F67" s="6">
        <v>30</v>
      </c>
      <c r="G67" s="6">
        <v>33</v>
      </c>
      <c r="H67" s="7">
        <f>IF(F67&gt;0,G67/F67,"n/a")</f>
        <v>1.1</v>
      </c>
      <c r="I67" s="6">
        <f>MAX(F67-G67,0)</f>
        <v>0</v>
      </c>
      <c r="J67" s="6">
        <f>MAX(G67-F67,0)</f>
        <v>3</v>
      </c>
      <c r="K67" s="7">
        <v>0.955</v>
      </c>
      <c r="L67" s="5" t="s">
        <v>20</v>
      </c>
      <c r="M67" s="14" t="s">
        <v>921</v>
      </c>
      <c r="N67" s="16" t="s">
        <v>19</v>
      </c>
      <c r="O67" s="17" t="s">
        <v>19</v>
      </c>
      <c r="P67" s="16" t="s">
        <v>919</v>
      </c>
      <c r="Q67" s="16" t="s">
        <v>19</v>
      </c>
    </row>
    <row r="68" spans="1:17">
      <c r="A68" s="5" t="s">
        <v>587</v>
      </c>
      <c r="B68" s="5" t="s">
        <v>45</v>
      </c>
      <c r="C68" s="5" t="s">
        <v>778</v>
      </c>
      <c r="D68" s="5" t="s">
        <v>790</v>
      </c>
      <c r="E68" s="5" t="s">
        <v>791</v>
      </c>
      <c r="F68" s="6">
        <v>277</v>
      </c>
      <c r="G68" s="6">
        <v>146</v>
      </c>
      <c r="H68" s="7">
        <f>IF(F68&gt;0,G68/F68,"n/a")</f>
        <v>0.527</v>
      </c>
      <c r="I68" s="6">
        <f>MAX(F68-G68,0)</f>
        <v>131</v>
      </c>
      <c r="J68" s="6">
        <f>MAX(G68-F68,0)</f>
        <v>0</v>
      </c>
      <c r="K68" s="7">
        <v>0.32</v>
      </c>
      <c r="L68" s="5" t="s">
        <v>46</v>
      </c>
      <c r="M68" s="14" t="s">
        <v>923</v>
      </c>
      <c r="N68" s="16" t="s">
        <v>19</v>
      </c>
      <c r="O68" s="17" t="s">
        <v>19</v>
      </c>
      <c r="P68" s="16" t="s">
        <v>919</v>
      </c>
      <c r="Q68" s="16" t="s">
        <v>19</v>
      </c>
    </row>
    <row r="69" spans="1:17">
      <c r="A69" s="5" t="s">
        <v>587</v>
      </c>
      <c r="B69" s="5" t="s">
        <v>45</v>
      </c>
      <c r="C69" s="5" t="s">
        <v>778</v>
      </c>
      <c r="D69" s="5" t="s">
        <v>788</v>
      </c>
      <c r="E69" s="5" t="s">
        <v>789</v>
      </c>
      <c r="F69" s="6">
        <v>298</v>
      </c>
      <c r="G69" s="6">
        <v>189</v>
      </c>
      <c r="H69" s="7">
        <f>IF(F69&gt;0,G69/F69,"n/a")</f>
        <v>0.634</v>
      </c>
      <c r="I69" s="6">
        <f>MAX(F69-G69,0)</f>
        <v>109</v>
      </c>
      <c r="J69" s="6">
        <f>MAX(G69-F69,0)</f>
        <v>0</v>
      </c>
      <c r="K69" s="7">
        <v>0.45</v>
      </c>
      <c r="L69" s="5" t="s">
        <v>46</v>
      </c>
      <c r="M69" s="14" t="s">
        <v>923</v>
      </c>
      <c r="N69" s="16" t="s">
        <v>19</v>
      </c>
      <c r="O69" s="17" t="s">
        <v>19</v>
      </c>
      <c r="P69" s="16" t="s">
        <v>919</v>
      </c>
      <c r="Q69" s="16" t="s">
        <v>19</v>
      </c>
    </row>
    <row r="70" spans="1:17">
      <c r="A70" s="5" t="s">
        <v>587</v>
      </c>
      <c r="B70" s="5" t="s">
        <v>45</v>
      </c>
      <c r="C70" s="5" t="s">
        <v>778</v>
      </c>
      <c r="D70" s="5" t="s">
        <v>792</v>
      </c>
      <c r="E70" s="5" t="s">
        <v>793</v>
      </c>
      <c r="F70" s="6">
        <v>215</v>
      </c>
      <c r="G70" s="6">
        <v>151</v>
      </c>
      <c r="H70" s="7">
        <f>IF(F70&gt;0,G70/F70,"n/a")</f>
        <v>0.7020000000000001</v>
      </c>
      <c r="I70" s="6">
        <f>MAX(F70-G70,0)</f>
        <v>64</v>
      </c>
      <c r="J70" s="6">
        <f>MAX(G70-F70,0)</f>
        <v>0</v>
      </c>
      <c r="K70" s="7">
        <v>0.227</v>
      </c>
      <c r="L70" s="5" t="s">
        <v>46</v>
      </c>
      <c r="M70" s="14" t="s">
        <v>923</v>
      </c>
      <c r="N70" s="16" t="s">
        <v>19</v>
      </c>
      <c r="O70" s="17" t="s">
        <v>19</v>
      </c>
      <c r="P70" s="16" t="s">
        <v>919</v>
      </c>
      <c r="Q70" s="16" t="s">
        <v>19</v>
      </c>
    </row>
    <row r="71" spans="1:17">
      <c r="A71" s="5" t="s">
        <v>587</v>
      </c>
      <c r="B71" s="5" t="s">
        <v>45</v>
      </c>
      <c r="C71" s="5" t="s">
        <v>796</v>
      </c>
      <c r="D71" s="5" t="s">
        <v>816</v>
      </c>
      <c r="E71" s="5" t="s">
        <v>817</v>
      </c>
      <c r="F71" s="6">
        <v>140</v>
      </c>
      <c r="G71" s="6">
        <v>100</v>
      </c>
      <c r="H71" s="7">
        <f>IF(F71&gt;0,G71/F71,"n/a")</f>
        <v>0.7140000000000001</v>
      </c>
      <c r="I71" s="6">
        <f>MAX(F71-G71,0)</f>
        <v>40</v>
      </c>
      <c r="J71" s="6">
        <f>MAX(G71-F71,0)</f>
        <v>0</v>
      </c>
      <c r="K71" s="7">
        <v>0.327</v>
      </c>
      <c r="L71" s="5" t="s">
        <v>46</v>
      </c>
      <c r="M71" s="14" t="s">
        <v>923</v>
      </c>
      <c r="N71" s="16" t="s">
        <v>19</v>
      </c>
      <c r="O71" s="17" t="s">
        <v>19</v>
      </c>
      <c r="P71" s="16" t="s">
        <v>919</v>
      </c>
      <c r="Q71" s="16" t="s">
        <v>19</v>
      </c>
    </row>
    <row r="72" spans="1:17">
      <c r="A72" s="5" t="s">
        <v>587</v>
      </c>
      <c r="B72" s="5" t="s">
        <v>45</v>
      </c>
      <c r="C72" s="5" t="s">
        <v>826</v>
      </c>
      <c r="D72" s="5" t="s">
        <v>839</v>
      </c>
      <c r="E72" s="5" t="s">
        <v>840</v>
      </c>
      <c r="F72" s="6">
        <v>70</v>
      </c>
      <c r="G72" s="6">
        <v>51</v>
      </c>
      <c r="H72" s="7">
        <f>IF(F72&gt;0,G72/F72,"n/a")</f>
        <v>0.7290000000000001</v>
      </c>
      <c r="I72" s="6">
        <f>MAX(F72-G72,0)</f>
        <v>19</v>
      </c>
      <c r="J72" s="6">
        <f>MAX(G72-F72,0)</f>
        <v>0</v>
      </c>
      <c r="K72" s="7">
        <v>0.325</v>
      </c>
      <c r="L72" s="5" t="s">
        <v>46</v>
      </c>
      <c r="M72" s="14" t="s">
        <v>923</v>
      </c>
      <c r="N72" s="16" t="s">
        <v>19</v>
      </c>
      <c r="O72" s="17" t="s">
        <v>19</v>
      </c>
      <c r="P72" s="16" t="s">
        <v>919</v>
      </c>
      <c r="Q72" s="16" t="s">
        <v>19</v>
      </c>
    </row>
    <row r="73" spans="1:17">
      <c r="A73" s="5" t="s">
        <v>587</v>
      </c>
      <c r="B73" s="5" t="s">
        <v>45</v>
      </c>
      <c r="C73" s="5" t="s">
        <v>699</v>
      </c>
      <c r="D73" s="5" t="s">
        <v>764</v>
      </c>
      <c r="E73" s="5" t="s">
        <v>765</v>
      </c>
      <c r="F73" s="6">
        <v>37</v>
      </c>
      <c r="G73" s="6">
        <v>21</v>
      </c>
      <c r="H73" s="7">
        <f>IF(F73&gt;0,G73/F73,"n/a")</f>
        <v>0.568</v>
      </c>
      <c r="I73" s="6">
        <f>MAX(F73-G73,0)</f>
        <v>16</v>
      </c>
      <c r="J73" s="6">
        <f>MAX(G73-F73,0)</f>
        <v>0</v>
      </c>
      <c r="K73" s="7">
        <v>0.516</v>
      </c>
      <c r="L73" s="5" t="s">
        <v>46</v>
      </c>
      <c r="M73" s="14" t="s">
        <v>923</v>
      </c>
      <c r="N73" s="16" t="s">
        <v>19</v>
      </c>
      <c r="O73" s="17" t="s">
        <v>19</v>
      </c>
      <c r="P73" s="16" t="s">
        <v>919</v>
      </c>
      <c r="Q73" s="16" t="s">
        <v>19</v>
      </c>
    </row>
    <row r="74" spans="1:17">
      <c r="A74" s="5" t="s">
        <v>587</v>
      </c>
      <c r="B74" s="5" t="s">
        <v>45</v>
      </c>
      <c r="C74" s="5" t="s">
        <v>699</v>
      </c>
      <c r="D74" s="5" t="s">
        <v>708</v>
      </c>
      <c r="E74" s="5" t="s">
        <v>709</v>
      </c>
      <c r="F74" s="6">
        <v>8</v>
      </c>
      <c r="G74" s="6">
        <v>5</v>
      </c>
      <c r="H74" s="7">
        <f>IF(F74&gt;0,G74/F74,"n/a")</f>
        <v>0.625</v>
      </c>
      <c r="I74" s="6">
        <f>MAX(F74-G74,0)</f>
        <v>3</v>
      </c>
      <c r="J74" s="6">
        <f>MAX(G74-F74,0)</f>
        <v>0</v>
      </c>
      <c r="K74" s="7">
        <v>1</v>
      </c>
      <c r="L74" s="5" t="s">
        <v>68</v>
      </c>
      <c r="M74" s="14" t="s">
        <v>922</v>
      </c>
      <c r="N74" s="16" t="s">
        <v>19</v>
      </c>
      <c r="O74" s="17" t="s">
        <v>19</v>
      </c>
      <c r="P74" s="16" t="s">
        <v>919</v>
      </c>
      <c r="Q74" s="16" t="s">
        <v>19</v>
      </c>
    </row>
    <row r="75" spans="1:17">
      <c r="A75" s="5" t="s">
        <v>394</v>
      </c>
      <c r="B75" s="5" t="s">
        <v>67</v>
      </c>
      <c r="C75" s="5" t="s">
        <v>394</v>
      </c>
      <c r="D75" s="5" t="s">
        <v>410</v>
      </c>
      <c r="E75" s="5" t="s">
        <v>411</v>
      </c>
      <c r="F75" s="6">
        <v>81</v>
      </c>
      <c r="G75" s="6">
        <v>0</v>
      </c>
      <c r="H75" s="7">
        <f>IF(F75&gt;0,G75/F75,"n/a")</f>
        <v>0.0</v>
      </c>
      <c r="I75" s="6">
        <f>MAX(F75-G75,0)</f>
        <v>81</v>
      </c>
      <c r="J75" s="6">
        <f>MAX(G75-F75,0)</f>
        <v>0</v>
      </c>
      <c r="K75" s="7">
        <v>1.118</v>
      </c>
      <c r="L75" s="5" t="s">
        <v>68</v>
      </c>
      <c r="M75" s="14" t="s">
        <v>918</v>
      </c>
      <c r="N75" s="16" t="s">
        <v>19</v>
      </c>
      <c r="O75" s="17" t="s">
        <v>19</v>
      </c>
      <c r="P75" s="16" t="s">
        <v>919</v>
      </c>
      <c r="Q75" s="16" t="s">
        <v>19</v>
      </c>
    </row>
    <row r="76" spans="1:17">
      <c r="A76" s="5" t="s">
        <v>394</v>
      </c>
      <c r="B76" s="5" t="s">
        <v>67</v>
      </c>
      <c r="C76" s="5" t="s">
        <v>395</v>
      </c>
      <c r="D76" s="5" t="s">
        <v>402</v>
      </c>
      <c r="E76" s="5" t="s">
        <v>403</v>
      </c>
      <c r="F76" s="6">
        <v>7</v>
      </c>
      <c r="G76" s="6">
        <v>0</v>
      </c>
      <c r="H76" s="7">
        <f>IF(F76&gt;0,G76/F76,"n/a")</f>
        <v>0.0</v>
      </c>
      <c r="I76" s="6">
        <f>MAX(F76-G76,0)</f>
        <v>7</v>
      </c>
      <c r="J76" s="6">
        <f>MAX(G76-F76,0)</f>
        <v>0</v>
      </c>
      <c r="K76" s="7">
        <v>1</v>
      </c>
      <c r="L76" s="5" t="s">
        <v>68</v>
      </c>
      <c r="M76" s="14" t="s">
        <v>918</v>
      </c>
      <c r="N76" s="16" t="s">
        <v>19</v>
      </c>
      <c r="O76" s="17" t="s">
        <v>19</v>
      </c>
      <c r="P76" s="16" t="s">
        <v>919</v>
      </c>
      <c r="Q76" s="16" t="s">
        <v>19</v>
      </c>
    </row>
    <row r="77" spans="1:17">
      <c r="A77" s="5" t="s">
        <v>394</v>
      </c>
      <c r="B77" s="5" t="s">
        <v>67</v>
      </c>
      <c r="C77" s="5" t="s">
        <v>395</v>
      </c>
      <c r="D77" s="5" t="s">
        <v>406</v>
      </c>
      <c r="E77" s="5" t="s">
        <v>407</v>
      </c>
      <c r="F77" s="6">
        <v>4</v>
      </c>
      <c r="G77" s="6">
        <v>0</v>
      </c>
      <c r="H77" s="7">
        <f>IF(F77&gt;0,G77/F77,"n/a")</f>
        <v>0.0</v>
      </c>
      <c r="I77" s="6">
        <f>MAX(F77-G77,0)</f>
        <v>4</v>
      </c>
      <c r="J77" s="6">
        <f>MAX(G77-F77,0)</f>
        <v>0</v>
      </c>
      <c r="K77" s="7">
        <v>1</v>
      </c>
      <c r="L77" s="5" t="s">
        <v>68</v>
      </c>
      <c r="M77" s="14" t="s">
        <v>918</v>
      </c>
      <c r="N77" s="16" t="s">
        <v>19</v>
      </c>
      <c r="O77" s="17" t="s">
        <v>19</v>
      </c>
      <c r="P77" s="16" t="s">
        <v>919</v>
      </c>
      <c r="Q77" s="16" t="s">
        <v>19</v>
      </c>
    </row>
    <row r="78" spans="1:17">
      <c r="A78" s="5" t="s">
        <v>394</v>
      </c>
      <c r="B78" s="5" t="s">
        <v>232</v>
      </c>
      <c r="C78" s="5" t="s">
        <v>394</v>
      </c>
      <c r="D78" s="5" t="s">
        <v>408</v>
      </c>
      <c r="E78" s="5" t="s">
        <v>409</v>
      </c>
      <c r="F78" s="6">
        <v>62</v>
      </c>
      <c r="G78" s="6">
        <v>15</v>
      </c>
      <c r="H78" s="7">
        <f>IF(F78&gt;0,G78/F78,"n/a")</f>
        <v>0.242</v>
      </c>
      <c r="I78" s="6">
        <f>MAX(F78-G78,0)</f>
        <v>47</v>
      </c>
      <c r="J78" s="6">
        <f>MAX(G78-F78,0)</f>
        <v>0</v>
      </c>
      <c r="K78" s="7">
        <v>0.97</v>
      </c>
      <c r="L78" s="5" t="s">
        <v>68</v>
      </c>
      <c r="M78" s="14" t="s">
        <v>925</v>
      </c>
      <c r="N78" s="16" t="s">
        <v>19</v>
      </c>
      <c r="O78" s="17" t="s">
        <v>19</v>
      </c>
      <c r="P78" s="16" t="s">
        <v>919</v>
      </c>
      <c r="Q78" s="16" t="s">
        <v>19</v>
      </c>
    </row>
    <row r="79" spans="1:17">
      <c r="A79" s="5" t="s">
        <v>394</v>
      </c>
      <c r="B79" s="5" t="s">
        <v>26</v>
      </c>
      <c r="C79" s="5" t="s">
        <v>394</v>
      </c>
      <c r="D79" s="5" t="s">
        <v>426</v>
      </c>
      <c r="E79" s="5" t="s">
        <v>427</v>
      </c>
      <c r="F79" s="6">
        <v>18</v>
      </c>
      <c r="G79" s="6">
        <v>88</v>
      </c>
      <c r="H79" s="7">
        <f>IF(F79&gt;0,G79/F79,"n/a")</f>
        <v>4.888999999999999</v>
      </c>
      <c r="I79" s="6">
        <f>MAX(F79-G79,0)</f>
        <v>0</v>
      </c>
      <c r="J79" s="6">
        <f>MAX(G79-F79,0)</f>
        <v>70</v>
      </c>
      <c r="K79" s="7">
        <v>0.583</v>
      </c>
      <c r="L79" s="5" t="s">
        <v>23</v>
      </c>
      <c r="M79" s="14" t="s">
        <v>921</v>
      </c>
      <c r="N79" s="16" t="s">
        <v>19</v>
      </c>
      <c r="O79" s="17" t="s">
        <v>19</v>
      </c>
      <c r="P79" s="16" t="s">
        <v>919</v>
      </c>
      <c r="Q79" s="16" t="s">
        <v>19</v>
      </c>
    </row>
    <row r="80" spans="1:17">
      <c r="A80" s="5" t="s">
        <v>394</v>
      </c>
      <c r="B80" s="5" t="s">
        <v>45</v>
      </c>
      <c r="C80" s="5" t="s">
        <v>394</v>
      </c>
      <c r="D80" s="5" t="s">
        <v>438</v>
      </c>
      <c r="E80" s="5" t="s">
        <v>439</v>
      </c>
      <c r="F80" s="6">
        <v>18</v>
      </c>
      <c r="G80" s="6">
        <v>12</v>
      </c>
      <c r="H80" s="7">
        <f>IF(F80&gt;0,G80/F80,"n/a")</f>
        <v>0.667</v>
      </c>
      <c r="I80" s="6">
        <f>MAX(F80-G80,0)</f>
        <v>6</v>
      </c>
      <c r="J80" s="6">
        <f>MAX(G80-F80,0)</f>
        <v>0</v>
      </c>
      <c r="K80" s="7">
        <v>1</v>
      </c>
      <c r="L80" s="5" t="s">
        <v>68</v>
      </c>
      <c r="M80" s="14" t="s">
        <v>922</v>
      </c>
      <c r="N80" s="16" t="s">
        <v>19</v>
      </c>
      <c r="O80" s="17" t="s">
        <v>19</v>
      </c>
      <c r="P80" s="16" t="s">
        <v>919</v>
      </c>
      <c r="Q80" s="16" t="s">
        <v>19</v>
      </c>
    </row>
    <row r="81" spans="1:17">
      <c r="A81" s="5" t="s">
        <v>394</v>
      </c>
      <c r="B81" s="5" t="s">
        <v>45</v>
      </c>
      <c r="C81" s="5" t="s">
        <v>395</v>
      </c>
      <c r="D81" s="5" t="s">
        <v>404</v>
      </c>
      <c r="E81" s="5" t="s">
        <v>405</v>
      </c>
      <c r="F81" s="6">
        <v>23</v>
      </c>
      <c r="G81" s="6">
        <v>18</v>
      </c>
      <c r="H81" s="7">
        <f>IF(F81&gt;0,G81/F81,"n/a")</f>
        <v>0.7829999999999999</v>
      </c>
      <c r="I81" s="6">
        <f>MAX(F81-G81,0)</f>
        <v>5</v>
      </c>
      <c r="J81" s="6">
        <f>MAX(G81-F81,0)</f>
        <v>0</v>
      </c>
      <c r="K81" s="7">
        <v>1</v>
      </c>
      <c r="L81" s="5" t="s">
        <v>68</v>
      </c>
      <c r="M81" s="14" t="s">
        <v>922</v>
      </c>
      <c r="N81" s="16" t="s">
        <v>19</v>
      </c>
      <c r="O81" s="17" t="s">
        <v>19</v>
      </c>
      <c r="P81" s="16" t="s">
        <v>919</v>
      </c>
      <c r="Q81" s="16" t="s">
        <v>19</v>
      </c>
    </row>
    <row r="82" spans="1:17">
      <c r="A82" s="5" t="s">
        <v>228</v>
      </c>
      <c r="B82" s="5" t="s">
        <v>67</v>
      </c>
      <c r="C82" s="5" t="s">
        <v>229</v>
      </c>
      <c r="D82" s="5" t="s">
        <v>235</v>
      </c>
      <c r="E82" s="5" t="s">
        <v>236</v>
      </c>
      <c r="F82" s="6">
        <v>29</v>
      </c>
      <c r="G82" s="6">
        <v>0</v>
      </c>
      <c r="H82" s="7">
        <f>IF(F82&gt;0,G82/F82,"n/a")</f>
        <v>0.0</v>
      </c>
      <c r="I82" s="6">
        <f>MAX(F82-G82,0)</f>
        <v>29</v>
      </c>
      <c r="J82" s="6">
        <f>MAX(G82-F82,0)</f>
        <v>0</v>
      </c>
      <c r="K82" s="7">
        <v>1</v>
      </c>
      <c r="L82" s="5" t="s">
        <v>68</v>
      </c>
      <c r="M82" s="14" t="s">
        <v>918</v>
      </c>
      <c r="N82" s="16" t="s">
        <v>19</v>
      </c>
      <c r="O82" s="17" t="s">
        <v>19</v>
      </c>
      <c r="P82" s="16" t="s">
        <v>919</v>
      </c>
      <c r="Q82" s="16" t="s">
        <v>19</v>
      </c>
    </row>
    <row r="83" spans="1:17">
      <c r="A83" s="5" t="s">
        <v>228</v>
      </c>
      <c r="B83" s="5" t="s">
        <v>67</v>
      </c>
      <c r="C83" s="5" t="s">
        <v>249</v>
      </c>
      <c r="D83" s="5" t="s">
        <v>262</v>
      </c>
      <c r="E83" s="5" t="s">
        <v>263</v>
      </c>
      <c r="F83" s="6">
        <v>28</v>
      </c>
      <c r="G83" s="6">
        <v>0</v>
      </c>
      <c r="H83" s="7">
        <f>IF(F83&gt;0,G83/F83,"n/a")</f>
        <v>0.0</v>
      </c>
      <c r="I83" s="6">
        <f>MAX(F83-G83,0)</f>
        <v>28</v>
      </c>
      <c r="J83" s="6">
        <f>MAX(G83-F83,0)</f>
        <v>0</v>
      </c>
      <c r="K83" s="7">
        <v>1</v>
      </c>
      <c r="L83" s="5" t="s">
        <v>68</v>
      </c>
      <c r="M83" s="14" t="s">
        <v>918</v>
      </c>
      <c r="N83" s="16" t="s">
        <v>19</v>
      </c>
      <c r="O83" s="17" t="s">
        <v>19</v>
      </c>
      <c r="P83" s="16" t="s">
        <v>919</v>
      </c>
      <c r="Q83" s="16" t="s">
        <v>19</v>
      </c>
    </row>
    <row r="84" spans="1:17">
      <c r="A84" s="5" t="s">
        <v>228</v>
      </c>
      <c r="B84" s="5" t="s">
        <v>67</v>
      </c>
      <c r="C84" s="5" t="s">
        <v>249</v>
      </c>
      <c r="D84" s="5" t="s">
        <v>258</v>
      </c>
      <c r="E84" s="5" t="s">
        <v>259</v>
      </c>
      <c r="F84" s="6">
        <v>24</v>
      </c>
      <c r="G84" s="6">
        <v>0</v>
      </c>
      <c r="H84" s="7">
        <f>IF(F84&gt;0,G84/F84,"n/a")</f>
        <v>0.0</v>
      </c>
      <c r="I84" s="6">
        <f>MAX(F84-G84,0)</f>
        <v>24</v>
      </c>
      <c r="J84" s="6">
        <f>MAX(G84-F84,0)</f>
        <v>0</v>
      </c>
      <c r="K84" s="7">
        <v>1</v>
      </c>
      <c r="L84" s="5" t="s">
        <v>68</v>
      </c>
      <c r="M84" s="14" t="s">
        <v>918</v>
      </c>
      <c r="N84" s="16" t="s">
        <v>19</v>
      </c>
      <c r="O84" s="17" t="s">
        <v>19</v>
      </c>
      <c r="P84" s="16" t="s">
        <v>919</v>
      </c>
      <c r="Q84" s="16" t="s">
        <v>19</v>
      </c>
    </row>
    <row r="85" spans="1:17">
      <c r="A85" s="5" t="s">
        <v>228</v>
      </c>
      <c r="B85" s="5" t="s">
        <v>67</v>
      </c>
      <c r="C85" s="5" t="s">
        <v>278</v>
      </c>
      <c r="D85" s="5" t="s">
        <v>281</v>
      </c>
      <c r="E85" s="5" t="s">
        <v>282</v>
      </c>
      <c r="F85" s="6">
        <v>9</v>
      </c>
      <c r="G85" s="6">
        <v>0</v>
      </c>
      <c r="H85" s="7">
        <f>IF(F85&gt;0,G85/F85,"n/a")</f>
        <v>0.0</v>
      </c>
      <c r="I85" s="6">
        <f>MAX(F85-G85,0)</f>
        <v>9</v>
      </c>
      <c r="J85" s="6">
        <f>MAX(G85-F85,0)</f>
        <v>0</v>
      </c>
      <c r="K85" s="7" t="s">
        <v>928</v>
      </c>
      <c r="L85" s="5" t="s">
        <v>100</v>
      </c>
      <c r="M85" s="14" t="s">
        <v>930</v>
      </c>
      <c r="N85" s="16" t="s">
        <v>19</v>
      </c>
      <c r="O85" s="17" t="s">
        <v>19</v>
      </c>
      <c r="P85" s="16" t="s">
        <v>919</v>
      </c>
      <c r="Q85" s="16" t="s">
        <v>19</v>
      </c>
    </row>
    <row r="86" spans="1:17">
      <c r="A86" s="5" t="s">
        <v>228</v>
      </c>
      <c r="B86" s="5" t="s">
        <v>67</v>
      </c>
      <c r="C86" s="5" t="s">
        <v>273</v>
      </c>
      <c r="D86" s="5" t="s">
        <v>274</v>
      </c>
      <c r="E86" s="5" t="s">
        <v>275</v>
      </c>
      <c r="F86" s="6">
        <v>8</v>
      </c>
      <c r="G86" s="6">
        <v>0</v>
      </c>
      <c r="H86" s="7">
        <f>IF(F86&gt;0,G86/F86,"n/a")</f>
        <v>0.0</v>
      </c>
      <c r="I86" s="6">
        <f>MAX(F86-G86,0)</f>
        <v>8</v>
      </c>
      <c r="J86" s="6">
        <f>MAX(G86-F86,0)</f>
        <v>0</v>
      </c>
      <c r="K86" s="7" t="s">
        <v>928</v>
      </c>
      <c r="L86" s="5" t="s">
        <v>100</v>
      </c>
      <c r="M86" s="14" t="s">
        <v>930</v>
      </c>
      <c r="N86" s="16" t="s">
        <v>19</v>
      </c>
      <c r="O86" s="17" t="s">
        <v>19</v>
      </c>
      <c r="P86" s="16" t="s">
        <v>919</v>
      </c>
      <c r="Q86" s="16" t="s">
        <v>19</v>
      </c>
    </row>
    <row r="87" spans="1:17">
      <c r="A87" s="5" t="s">
        <v>228</v>
      </c>
      <c r="B87" s="5" t="s">
        <v>67</v>
      </c>
      <c r="C87" s="5" t="s">
        <v>273</v>
      </c>
      <c r="D87" s="5" t="s">
        <v>276</v>
      </c>
      <c r="E87" s="5" t="s">
        <v>277</v>
      </c>
      <c r="F87" s="6">
        <v>5</v>
      </c>
      <c r="G87" s="6">
        <v>0</v>
      </c>
      <c r="H87" s="7">
        <f>IF(F87&gt;0,G87/F87,"n/a")</f>
        <v>0.0</v>
      </c>
      <c r="I87" s="6">
        <f>MAX(F87-G87,0)</f>
        <v>5</v>
      </c>
      <c r="J87" s="6">
        <f>MAX(G87-F87,0)</f>
        <v>0</v>
      </c>
      <c r="K87" s="7" t="s">
        <v>928</v>
      </c>
      <c r="L87" s="5" t="s">
        <v>100</v>
      </c>
      <c r="M87" s="14" t="s">
        <v>930</v>
      </c>
      <c r="N87" s="16" t="s">
        <v>19</v>
      </c>
      <c r="O87" s="17" t="s">
        <v>19</v>
      </c>
      <c r="P87" s="16" t="s">
        <v>919</v>
      </c>
      <c r="Q87" s="16" t="s">
        <v>19</v>
      </c>
    </row>
    <row r="88" spans="1:17">
      <c r="A88" s="5" t="s">
        <v>228</v>
      </c>
      <c r="B88" s="5" t="s">
        <v>232</v>
      </c>
      <c r="C88" s="5" t="s">
        <v>229</v>
      </c>
      <c r="D88" s="5" t="s">
        <v>230</v>
      </c>
      <c r="E88" s="5" t="s">
        <v>231</v>
      </c>
      <c r="F88" s="6">
        <v>32</v>
      </c>
      <c r="G88" s="6">
        <v>8</v>
      </c>
      <c r="H88" s="7">
        <f>IF(F88&gt;0,G88/F88,"n/a")</f>
        <v>0.25</v>
      </c>
      <c r="I88" s="6">
        <f>MAX(F88-G88,0)</f>
        <v>24</v>
      </c>
      <c r="J88" s="6">
        <f>MAX(G88-F88,0)</f>
        <v>0</v>
      </c>
      <c r="K88" s="7">
        <v>1</v>
      </c>
      <c r="L88" s="5" t="s">
        <v>68</v>
      </c>
      <c r="M88" s="14" t="s">
        <v>925</v>
      </c>
      <c r="N88" s="16" t="s">
        <v>19</v>
      </c>
      <c r="O88" s="17" t="s">
        <v>19</v>
      </c>
      <c r="P88" s="16" t="s">
        <v>919</v>
      </c>
      <c r="Q88" s="16" t="s">
        <v>19</v>
      </c>
    </row>
    <row r="89" spans="1:17">
      <c r="A89" s="5" t="s">
        <v>228</v>
      </c>
      <c r="B89" s="5" t="s">
        <v>26</v>
      </c>
      <c r="C89" s="5" t="s">
        <v>264</v>
      </c>
      <c r="D89" s="5" t="s">
        <v>265</v>
      </c>
      <c r="E89" s="5" t="s">
        <v>266</v>
      </c>
      <c r="F89" s="6">
        <v>69</v>
      </c>
      <c r="G89" s="6">
        <v>165</v>
      </c>
      <c r="H89" s="7">
        <f>IF(F89&gt;0,G89/F89,"n/a")</f>
        <v>2.391</v>
      </c>
      <c r="I89" s="6">
        <f>MAX(F89-G89,0)</f>
        <v>0</v>
      </c>
      <c r="J89" s="6">
        <f>MAX(G89-F89,0)</f>
        <v>96</v>
      </c>
      <c r="K89" s="7">
        <v>1</v>
      </c>
      <c r="L89" s="5" t="s">
        <v>20</v>
      </c>
      <c r="M89" s="14" t="s">
        <v>921</v>
      </c>
      <c r="N89" s="16" t="s">
        <v>19</v>
      </c>
      <c r="O89" s="17" t="s">
        <v>19</v>
      </c>
      <c r="P89" s="16" t="s">
        <v>919</v>
      </c>
      <c r="Q89" s="16" t="s">
        <v>19</v>
      </c>
    </row>
    <row r="90" spans="1:17">
      <c r="A90" s="5" t="s">
        <v>228</v>
      </c>
      <c r="B90" s="5" t="s">
        <v>244</v>
      </c>
      <c r="C90" s="5" t="s">
        <v>249</v>
      </c>
      <c r="D90" s="5" t="s">
        <v>260</v>
      </c>
      <c r="E90" s="5" t="s">
        <v>261</v>
      </c>
      <c r="F90" s="6">
        <v>0</v>
      </c>
      <c r="G90" s="6">
        <v>52</v>
      </c>
      <c r="H90" s="7" t="str">
        <f>IF(F90&gt;0,G90/F90,"n/a")</f>
        <v>n/a</v>
      </c>
      <c r="I90" s="6">
        <f>MAX(F90-G90,0)</f>
        <v>0</v>
      </c>
      <c r="J90" s="6">
        <f>MAX(G90-F90,0)</f>
        <v>52</v>
      </c>
      <c r="K90" s="7" t="s">
        <v>928</v>
      </c>
      <c r="L90" s="5" t="s">
        <v>100</v>
      </c>
      <c r="M90" s="14" t="s">
        <v>929</v>
      </c>
      <c r="N90" s="16" t="s">
        <v>19</v>
      </c>
      <c r="O90" s="17" t="s">
        <v>19</v>
      </c>
      <c r="P90" s="16" t="s">
        <v>919</v>
      </c>
      <c r="Q90" s="16" t="s">
        <v>19</v>
      </c>
    </row>
    <row r="91" spans="1:17">
      <c r="A91" s="5" t="s">
        <v>228</v>
      </c>
      <c r="B91" s="5" t="s">
        <v>26</v>
      </c>
      <c r="C91" s="5" t="s">
        <v>229</v>
      </c>
      <c r="D91" s="5" t="s">
        <v>233</v>
      </c>
      <c r="E91" s="5" t="s">
        <v>234</v>
      </c>
      <c r="F91" s="6">
        <v>74</v>
      </c>
      <c r="G91" s="6">
        <v>92</v>
      </c>
      <c r="H91" s="7">
        <f>IF(F91&gt;0,G91/F91,"n/a")</f>
        <v>1.2429999999999999</v>
      </c>
      <c r="I91" s="6">
        <f>MAX(F91-G91,0)</f>
        <v>0</v>
      </c>
      <c r="J91" s="6">
        <f>MAX(G91-F91,0)</f>
        <v>18</v>
      </c>
      <c r="K91" s="7">
        <v>1</v>
      </c>
      <c r="L91" s="5" t="s">
        <v>20</v>
      </c>
      <c r="M91" s="14" t="s">
        <v>921</v>
      </c>
      <c r="N91" s="16" t="s">
        <v>19</v>
      </c>
      <c r="O91" s="17" t="s">
        <v>19</v>
      </c>
      <c r="P91" s="16" t="s">
        <v>919</v>
      </c>
      <c r="Q91" s="16" t="s">
        <v>19</v>
      </c>
    </row>
    <row r="92" spans="1:17">
      <c r="A92" s="5" t="s">
        <v>228</v>
      </c>
      <c r="B92" s="5" t="s">
        <v>26</v>
      </c>
      <c r="C92" s="5" t="s">
        <v>264</v>
      </c>
      <c r="D92" s="5" t="s">
        <v>267</v>
      </c>
      <c r="E92" s="5" t="s">
        <v>268</v>
      </c>
      <c r="F92" s="6">
        <v>22</v>
      </c>
      <c r="G92" s="6">
        <v>38</v>
      </c>
      <c r="H92" s="7">
        <f>IF(F92&gt;0,G92/F92,"n/a")</f>
        <v>1.7269999999999999</v>
      </c>
      <c r="I92" s="6">
        <f>MAX(F92-G92,0)</f>
        <v>0</v>
      </c>
      <c r="J92" s="6">
        <f>MAX(G92-F92,0)</f>
        <v>16</v>
      </c>
      <c r="K92" s="7">
        <v>1</v>
      </c>
      <c r="L92" s="5" t="s">
        <v>20</v>
      </c>
      <c r="M92" s="14" t="s">
        <v>921</v>
      </c>
      <c r="N92" s="16" t="s">
        <v>19</v>
      </c>
      <c r="O92" s="17" t="s">
        <v>19</v>
      </c>
      <c r="P92" s="16" t="s">
        <v>919</v>
      </c>
      <c r="Q92" s="16" t="s">
        <v>19</v>
      </c>
    </row>
    <row r="93" spans="1:17">
      <c r="A93" s="5" t="s">
        <v>228</v>
      </c>
      <c r="B93" s="5" t="s">
        <v>26</v>
      </c>
      <c r="C93" s="5" t="s">
        <v>239</v>
      </c>
      <c r="D93" s="5" t="s">
        <v>240</v>
      </c>
      <c r="E93" s="5" t="s">
        <v>241</v>
      </c>
      <c r="F93" s="6">
        <v>21</v>
      </c>
      <c r="G93" s="6">
        <v>29</v>
      </c>
      <c r="H93" s="7">
        <f>IF(F93&gt;0,G93/F93,"n/a")</f>
        <v>1.381</v>
      </c>
      <c r="I93" s="6">
        <f>MAX(F93-G93,0)</f>
        <v>0</v>
      </c>
      <c r="J93" s="6">
        <f>MAX(G93-F93,0)</f>
        <v>8</v>
      </c>
      <c r="K93" s="7">
        <v>1</v>
      </c>
      <c r="L93" s="5" t="s">
        <v>20</v>
      </c>
      <c r="M93" s="14" t="s">
        <v>921</v>
      </c>
      <c r="N93" s="16" t="s">
        <v>19</v>
      </c>
      <c r="O93" s="17" t="s">
        <v>19</v>
      </c>
      <c r="P93" s="16" t="s">
        <v>919</v>
      </c>
      <c r="Q93" s="16" t="s">
        <v>19</v>
      </c>
    </row>
    <row r="94" spans="1:17">
      <c r="A94" s="5" t="s">
        <v>228</v>
      </c>
      <c r="B94" s="5" t="s">
        <v>244</v>
      </c>
      <c r="C94" s="5" t="s">
        <v>239</v>
      </c>
      <c r="D94" s="5" t="s">
        <v>242</v>
      </c>
      <c r="E94" s="5" t="s">
        <v>243</v>
      </c>
      <c r="F94" s="6">
        <v>0</v>
      </c>
      <c r="G94" s="6">
        <v>8</v>
      </c>
      <c r="H94" s="7" t="str">
        <f>IF(F94&gt;0,G94/F94,"n/a")</f>
        <v>n/a</v>
      </c>
      <c r="I94" s="6">
        <f>MAX(F94-G94,0)</f>
        <v>0</v>
      </c>
      <c r="J94" s="6">
        <f>MAX(G94-F94,0)</f>
        <v>8</v>
      </c>
      <c r="K94" s="7">
        <v>1</v>
      </c>
      <c r="L94" s="5" t="s">
        <v>100</v>
      </c>
      <c r="M94" s="14" t="s">
        <v>929</v>
      </c>
      <c r="N94" s="16" t="s">
        <v>19</v>
      </c>
      <c r="O94" s="17" t="s">
        <v>19</v>
      </c>
      <c r="P94" s="16" t="s">
        <v>919</v>
      </c>
      <c r="Q94" s="16" t="s">
        <v>19</v>
      </c>
    </row>
    <row r="95" spans="1:17">
      <c r="A95" s="5" t="s">
        <v>228</v>
      </c>
      <c r="B95" s="5" t="s">
        <v>26</v>
      </c>
      <c r="C95" s="5" t="s">
        <v>249</v>
      </c>
      <c r="D95" s="5" t="s">
        <v>250</v>
      </c>
      <c r="E95" s="5" t="s">
        <v>251</v>
      </c>
      <c r="F95" s="6">
        <v>2</v>
      </c>
      <c r="G95" s="6">
        <v>5</v>
      </c>
      <c r="H95" s="7">
        <f>IF(F95&gt;0,G95/F95,"n/a")</f>
        <v>2.5</v>
      </c>
      <c r="I95" s="6">
        <f>MAX(F95-G95,0)</f>
        <v>0</v>
      </c>
      <c r="J95" s="6">
        <f>MAX(G95-F95,0)</f>
        <v>3</v>
      </c>
      <c r="K95" s="7">
        <v>1</v>
      </c>
      <c r="L95" s="5" t="s">
        <v>20</v>
      </c>
      <c r="M95" s="14" t="s">
        <v>921</v>
      </c>
      <c r="N95" s="16" t="s">
        <v>19</v>
      </c>
      <c r="O95" s="17" t="s">
        <v>19</v>
      </c>
      <c r="P95" s="16" t="s">
        <v>919</v>
      </c>
      <c r="Q95" s="16" t="s">
        <v>19</v>
      </c>
    </row>
    <row r="96" spans="1:17">
      <c r="A96" s="5" t="s">
        <v>228</v>
      </c>
      <c r="B96" s="5" t="s">
        <v>45</v>
      </c>
      <c r="C96" s="5" t="s">
        <v>264</v>
      </c>
      <c r="D96" s="5" t="s">
        <v>269</v>
      </c>
      <c r="E96" s="5" t="s">
        <v>270</v>
      </c>
      <c r="F96" s="6">
        <v>63</v>
      </c>
      <c r="G96" s="6">
        <v>35</v>
      </c>
      <c r="H96" s="7">
        <f>IF(F96&gt;0,G96/F96,"n/a")</f>
        <v>0.556</v>
      </c>
      <c r="I96" s="6">
        <f>MAX(F96-G96,0)</f>
        <v>28</v>
      </c>
      <c r="J96" s="6">
        <f>MAX(G96-F96,0)</f>
        <v>0</v>
      </c>
      <c r="K96" s="7">
        <v>1</v>
      </c>
      <c r="L96" s="5" t="s">
        <v>68</v>
      </c>
      <c r="M96" s="14" t="s">
        <v>922</v>
      </c>
      <c r="N96" s="16" t="s">
        <v>19</v>
      </c>
      <c r="O96" s="17" t="s">
        <v>19</v>
      </c>
      <c r="P96" s="16" t="s">
        <v>919</v>
      </c>
      <c r="Q96" s="16" t="s">
        <v>19</v>
      </c>
    </row>
    <row r="97" spans="1:17">
      <c r="A97" s="5" t="s">
        <v>440</v>
      </c>
      <c r="B97" s="5" t="s">
        <v>67</v>
      </c>
      <c r="C97" s="5" t="s">
        <v>479</v>
      </c>
      <c r="D97" s="5" t="s">
        <v>484</v>
      </c>
      <c r="E97" s="5" t="s">
        <v>485</v>
      </c>
      <c r="F97" s="6">
        <v>32</v>
      </c>
      <c r="G97" s="6">
        <v>0</v>
      </c>
      <c r="H97" s="7">
        <f>IF(F97&gt;0,G97/F97,"n/a")</f>
        <v>0.0</v>
      </c>
      <c r="I97" s="6">
        <f>MAX(F97-G97,0)</f>
        <v>32</v>
      </c>
      <c r="J97" s="6">
        <f>MAX(G97-F97,0)</f>
        <v>0</v>
      </c>
      <c r="K97" s="7">
        <v>7</v>
      </c>
      <c r="L97" s="5" t="s">
        <v>68</v>
      </c>
      <c r="M97" s="14" t="s">
        <v>918</v>
      </c>
      <c r="N97" s="16" t="s">
        <v>19</v>
      </c>
      <c r="O97" s="17" t="s">
        <v>19</v>
      </c>
      <c r="P97" s="16" t="s">
        <v>919</v>
      </c>
      <c r="Q97" s="16" t="s">
        <v>19</v>
      </c>
    </row>
    <row r="98" spans="1:17">
      <c r="A98" s="5" t="s">
        <v>440</v>
      </c>
      <c r="B98" s="5" t="s">
        <v>67</v>
      </c>
      <c r="C98" s="5" t="s">
        <v>486</v>
      </c>
      <c r="D98" s="5" t="s">
        <v>515</v>
      </c>
      <c r="E98" s="5" t="s">
        <v>516</v>
      </c>
      <c r="F98" s="6">
        <v>27</v>
      </c>
      <c r="G98" s="6">
        <v>0</v>
      </c>
      <c r="H98" s="7">
        <f>IF(F98&gt;0,G98/F98,"n/a")</f>
        <v>0.0</v>
      </c>
      <c r="I98" s="6">
        <f>MAX(F98-G98,0)</f>
        <v>27</v>
      </c>
      <c r="J98" s="6">
        <f>MAX(G98-F98,0)</f>
        <v>0</v>
      </c>
      <c r="K98" s="7">
        <v>1</v>
      </c>
      <c r="L98" s="5" t="s">
        <v>68</v>
      </c>
      <c r="M98" s="14" t="s">
        <v>918</v>
      </c>
      <c r="N98" s="16" t="s">
        <v>19</v>
      </c>
      <c r="O98" s="17" t="s">
        <v>19</v>
      </c>
      <c r="P98" s="16" t="s">
        <v>919</v>
      </c>
      <c r="Q98" s="16" t="s">
        <v>19</v>
      </c>
    </row>
    <row r="99" spans="1:17">
      <c r="A99" s="5" t="s">
        <v>440</v>
      </c>
      <c r="B99" s="5" t="s">
        <v>67</v>
      </c>
      <c r="C99" s="5" t="s">
        <v>486</v>
      </c>
      <c r="D99" s="5" t="s">
        <v>489</v>
      </c>
      <c r="E99" s="5" t="s">
        <v>490</v>
      </c>
      <c r="F99" s="6">
        <v>19</v>
      </c>
      <c r="G99" s="6">
        <v>0</v>
      </c>
      <c r="H99" s="7">
        <f>IF(F99&gt;0,G99/F99,"n/a")</f>
        <v>0.0</v>
      </c>
      <c r="I99" s="6">
        <f>MAX(F99-G99,0)</f>
        <v>19</v>
      </c>
      <c r="J99" s="6">
        <f>MAX(G99-F99,0)</f>
        <v>0</v>
      </c>
      <c r="K99" s="7">
        <v>1</v>
      </c>
      <c r="L99" s="5" t="s">
        <v>68</v>
      </c>
      <c r="M99" s="14" t="s">
        <v>918</v>
      </c>
      <c r="N99" s="16" t="s">
        <v>19</v>
      </c>
      <c r="O99" s="17" t="s">
        <v>19</v>
      </c>
      <c r="P99" s="16" t="s">
        <v>919</v>
      </c>
      <c r="Q99" s="16" t="s">
        <v>19</v>
      </c>
    </row>
    <row r="100" spans="1:17">
      <c r="A100" s="5" t="s">
        <v>440</v>
      </c>
      <c r="B100" s="5" t="s">
        <v>67</v>
      </c>
      <c r="C100" s="5" t="s">
        <v>441</v>
      </c>
      <c r="D100" s="5" t="s">
        <v>452</v>
      </c>
      <c r="E100" s="5" t="s">
        <v>453</v>
      </c>
      <c r="F100" s="6">
        <v>10</v>
      </c>
      <c r="G100" s="6">
        <v>0</v>
      </c>
      <c r="H100" s="7">
        <f>IF(F100&gt;0,G100/F100,"n/a")</f>
        <v>0.0</v>
      </c>
      <c r="I100" s="6">
        <f>MAX(F100-G100,0)</f>
        <v>10</v>
      </c>
      <c r="J100" s="6">
        <f>MAX(G100-F100,0)</f>
        <v>0</v>
      </c>
      <c r="K100" s="7">
        <v>1</v>
      </c>
      <c r="L100" s="5" t="s">
        <v>68</v>
      </c>
      <c r="M100" s="14" t="s">
        <v>918</v>
      </c>
      <c r="N100" s="16" t="s">
        <v>19</v>
      </c>
      <c r="O100" s="17" t="s">
        <v>19</v>
      </c>
      <c r="P100" s="16" t="s">
        <v>919</v>
      </c>
      <c r="Q100" s="16" t="s">
        <v>19</v>
      </c>
    </row>
    <row r="101" spans="1:17">
      <c r="A101" s="5" t="s">
        <v>440</v>
      </c>
      <c r="B101" s="5" t="s">
        <v>67</v>
      </c>
      <c r="C101" s="5" t="s">
        <v>441</v>
      </c>
      <c r="D101" s="5" t="s">
        <v>464</v>
      </c>
      <c r="E101" s="5" t="s">
        <v>465</v>
      </c>
      <c r="F101" s="6">
        <v>6</v>
      </c>
      <c r="G101" s="6">
        <v>0</v>
      </c>
      <c r="H101" s="7">
        <f>IF(F101&gt;0,G101/F101,"n/a")</f>
        <v>0.0</v>
      </c>
      <c r="I101" s="6">
        <f>MAX(F101-G101,0)</f>
        <v>6</v>
      </c>
      <c r="J101" s="6">
        <f>MAX(G101-F101,0)</f>
        <v>0</v>
      </c>
      <c r="K101" s="7">
        <v>1</v>
      </c>
      <c r="L101" s="5" t="s">
        <v>68</v>
      </c>
      <c r="M101" s="14" t="s">
        <v>918</v>
      </c>
      <c r="N101" s="16" t="s">
        <v>19</v>
      </c>
      <c r="O101" s="17" t="s">
        <v>19</v>
      </c>
      <c r="P101" s="16" t="s">
        <v>919</v>
      </c>
      <c r="Q101" s="16" t="s">
        <v>19</v>
      </c>
    </row>
    <row r="102" spans="1:17">
      <c r="A102" s="5" t="s">
        <v>440</v>
      </c>
      <c r="B102" s="5" t="s">
        <v>67</v>
      </c>
      <c r="C102" s="5" t="s">
        <v>441</v>
      </c>
      <c r="D102" s="5" t="s">
        <v>448</v>
      </c>
      <c r="E102" s="5" t="s">
        <v>449</v>
      </c>
      <c r="F102" s="6">
        <v>4</v>
      </c>
      <c r="G102" s="6">
        <v>0</v>
      </c>
      <c r="H102" s="7">
        <f>IF(F102&gt;0,G102/F102,"n/a")</f>
        <v>0.0</v>
      </c>
      <c r="I102" s="6">
        <f>MAX(F102-G102,0)</f>
        <v>4</v>
      </c>
      <c r="J102" s="6">
        <f>MAX(G102-F102,0)</f>
        <v>0</v>
      </c>
      <c r="K102" s="7">
        <v>0.5710000000000001</v>
      </c>
      <c r="L102" s="5" t="s">
        <v>46</v>
      </c>
      <c r="M102" s="14" t="s">
        <v>920</v>
      </c>
      <c r="N102" s="16" t="s">
        <v>19</v>
      </c>
      <c r="O102" s="17" t="s">
        <v>19</v>
      </c>
      <c r="P102" s="16" t="s">
        <v>919</v>
      </c>
      <c r="Q102" s="16" t="s">
        <v>19</v>
      </c>
    </row>
    <row r="103" spans="1:17">
      <c r="A103" s="5" t="s">
        <v>440</v>
      </c>
      <c r="B103" s="5" t="s">
        <v>26</v>
      </c>
      <c r="C103" s="5" t="s">
        <v>486</v>
      </c>
      <c r="D103" s="5" t="s">
        <v>511</v>
      </c>
      <c r="E103" s="5" t="s">
        <v>512</v>
      </c>
      <c r="F103" s="6">
        <v>29</v>
      </c>
      <c r="G103" s="6">
        <v>49</v>
      </c>
      <c r="H103" s="7">
        <f>IF(F103&gt;0,G103/F103,"n/a")</f>
        <v>1.69</v>
      </c>
      <c r="I103" s="6">
        <f>MAX(F103-G103,0)</f>
        <v>0</v>
      </c>
      <c r="J103" s="6">
        <f>MAX(G103-F103,0)</f>
        <v>20</v>
      </c>
      <c r="K103" s="7">
        <v>1.091</v>
      </c>
      <c r="L103" s="5" t="s">
        <v>20</v>
      </c>
      <c r="M103" s="14" t="s">
        <v>921</v>
      </c>
      <c r="N103" s="16" t="s">
        <v>19</v>
      </c>
      <c r="O103" s="17" t="s">
        <v>19</v>
      </c>
      <c r="P103" s="16" t="s">
        <v>919</v>
      </c>
      <c r="Q103" s="16" t="s">
        <v>19</v>
      </c>
    </row>
    <row r="104" spans="1:17">
      <c r="A104" s="5" t="s">
        <v>440</v>
      </c>
      <c r="B104" s="5" t="s">
        <v>26</v>
      </c>
      <c r="C104" s="5" t="s">
        <v>486</v>
      </c>
      <c r="D104" s="5" t="s">
        <v>491</v>
      </c>
      <c r="E104" s="5" t="s">
        <v>492</v>
      </c>
      <c r="F104" s="6">
        <v>11</v>
      </c>
      <c r="G104" s="6">
        <v>23</v>
      </c>
      <c r="H104" s="7">
        <f>IF(F104&gt;0,G104/F104,"n/a")</f>
        <v>2.0909999999999997</v>
      </c>
      <c r="I104" s="6">
        <f>MAX(F104-G104,0)</f>
        <v>0</v>
      </c>
      <c r="J104" s="6">
        <f>MAX(G104-F104,0)</f>
        <v>12</v>
      </c>
      <c r="K104" s="7">
        <v>1</v>
      </c>
      <c r="L104" s="5" t="s">
        <v>20</v>
      </c>
      <c r="M104" s="14" t="s">
        <v>921</v>
      </c>
      <c r="N104" s="16" t="s">
        <v>19</v>
      </c>
      <c r="O104" s="17" t="s">
        <v>19</v>
      </c>
      <c r="P104" s="16" t="s">
        <v>919</v>
      </c>
      <c r="Q104" s="16" t="s">
        <v>19</v>
      </c>
    </row>
    <row r="105" spans="1:17">
      <c r="A105" s="5" t="s">
        <v>440</v>
      </c>
      <c r="B105" s="5" t="s">
        <v>26</v>
      </c>
      <c r="C105" s="5" t="s">
        <v>486</v>
      </c>
      <c r="D105" s="5" t="s">
        <v>501</v>
      </c>
      <c r="E105" s="5" t="s">
        <v>502</v>
      </c>
      <c r="F105" s="6">
        <v>13</v>
      </c>
      <c r="G105" s="6">
        <v>22</v>
      </c>
      <c r="H105" s="7">
        <f>IF(F105&gt;0,G105/F105,"n/a")</f>
        <v>1.692</v>
      </c>
      <c r="I105" s="6">
        <f>MAX(F105-G105,0)</f>
        <v>0</v>
      </c>
      <c r="J105" s="6">
        <f>MAX(G105-F105,0)</f>
        <v>9</v>
      </c>
      <c r="K105" s="7">
        <v>1</v>
      </c>
      <c r="L105" s="5" t="s">
        <v>20</v>
      </c>
      <c r="M105" s="14" t="s">
        <v>921</v>
      </c>
      <c r="N105" s="16" t="s">
        <v>19</v>
      </c>
      <c r="O105" s="17" t="s">
        <v>19</v>
      </c>
      <c r="P105" s="16" t="s">
        <v>919</v>
      </c>
      <c r="Q105" s="16" t="s">
        <v>19</v>
      </c>
    </row>
    <row r="106" spans="1:17">
      <c r="A106" s="5" t="s">
        <v>440</v>
      </c>
      <c r="B106" s="5" t="s">
        <v>26</v>
      </c>
      <c r="C106" s="5" t="s">
        <v>479</v>
      </c>
      <c r="D106" s="5" t="s">
        <v>480</v>
      </c>
      <c r="E106" s="5" t="s">
        <v>481</v>
      </c>
      <c r="F106" s="6">
        <v>21</v>
      </c>
      <c r="G106" s="6">
        <v>28</v>
      </c>
      <c r="H106" s="7">
        <f>IF(F106&gt;0,G106/F106,"n/a")</f>
        <v>1.3330000000000002</v>
      </c>
      <c r="I106" s="6">
        <f>MAX(F106-G106,0)</f>
        <v>0</v>
      </c>
      <c r="J106" s="6">
        <f>MAX(G106-F106,0)</f>
        <v>7</v>
      </c>
      <c r="K106" s="7">
        <v>1</v>
      </c>
      <c r="L106" s="5" t="s">
        <v>20</v>
      </c>
      <c r="M106" s="14" t="s">
        <v>921</v>
      </c>
      <c r="N106" s="16" t="s">
        <v>19</v>
      </c>
      <c r="O106" s="17" t="s">
        <v>19</v>
      </c>
      <c r="P106" s="16" t="s">
        <v>919</v>
      </c>
      <c r="Q106" s="16" t="s">
        <v>19</v>
      </c>
    </row>
    <row r="107" spans="1:17">
      <c r="A107" s="5" t="s">
        <v>440</v>
      </c>
      <c r="B107" s="5" t="s">
        <v>26</v>
      </c>
      <c r="C107" s="5" t="s">
        <v>486</v>
      </c>
      <c r="D107" s="5" t="s">
        <v>507</v>
      </c>
      <c r="E107" s="5" t="s">
        <v>508</v>
      </c>
      <c r="F107" s="6">
        <v>23</v>
      </c>
      <c r="G107" s="6">
        <v>28</v>
      </c>
      <c r="H107" s="7">
        <f>IF(F107&gt;0,G107/F107,"n/a")</f>
        <v>1.217</v>
      </c>
      <c r="I107" s="6">
        <f>MAX(F107-G107,0)</f>
        <v>0</v>
      </c>
      <c r="J107" s="6">
        <f>MAX(G107-F107,0)</f>
        <v>5</v>
      </c>
      <c r="K107" s="7">
        <v>1</v>
      </c>
      <c r="L107" s="5" t="s">
        <v>20</v>
      </c>
      <c r="M107" s="14" t="s">
        <v>921</v>
      </c>
      <c r="N107" s="16" t="s">
        <v>19</v>
      </c>
      <c r="O107" s="17" t="s">
        <v>19</v>
      </c>
      <c r="P107" s="16" t="s">
        <v>919</v>
      </c>
      <c r="Q107" s="16" t="s">
        <v>19</v>
      </c>
    </row>
    <row r="108" spans="1:17">
      <c r="A108" s="5" t="s">
        <v>440</v>
      </c>
      <c r="B108" s="5" t="s">
        <v>26</v>
      </c>
      <c r="C108" s="5" t="s">
        <v>441</v>
      </c>
      <c r="D108" s="5" t="s">
        <v>462</v>
      </c>
      <c r="E108" s="5" t="s">
        <v>463</v>
      </c>
      <c r="F108" s="6">
        <v>16</v>
      </c>
      <c r="G108" s="6">
        <v>20</v>
      </c>
      <c r="H108" s="7">
        <f>IF(F108&gt;0,G108/F108,"n/a")</f>
        <v>1.25</v>
      </c>
      <c r="I108" s="6">
        <f>MAX(F108-G108,0)</f>
        <v>0</v>
      </c>
      <c r="J108" s="6">
        <f>MAX(G108-F108,0)</f>
        <v>4</v>
      </c>
      <c r="K108" s="7">
        <v>1</v>
      </c>
      <c r="L108" s="5" t="s">
        <v>20</v>
      </c>
      <c r="M108" s="14" t="s">
        <v>921</v>
      </c>
      <c r="N108" s="16" t="s">
        <v>19</v>
      </c>
      <c r="O108" s="17" t="s">
        <v>19</v>
      </c>
      <c r="P108" s="16" t="s">
        <v>919</v>
      </c>
      <c r="Q108" s="16" t="s">
        <v>19</v>
      </c>
    </row>
    <row r="109" spans="1:17">
      <c r="A109" s="5" t="s">
        <v>440</v>
      </c>
      <c r="B109" s="5" t="s">
        <v>26</v>
      </c>
      <c r="C109" s="5" t="s">
        <v>468</v>
      </c>
      <c r="D109" s="5" t="s">
        <v>469</v>
      </c>
      <c r="E109" s="5" t="s">
        <v>470</v>
      </c>
      <c r="F109" s="6">
        <v>5</v>
      </c>
      <c r="G109" s="6">
        <v>8</v>
      </c>
      <c r="H109" s="7">
        <f>IF(F109&gt;0,G109/F109,"n/a")</f>
        <v>1.6</v>
      </c>
      <c r="I109" s="6">
        <f>MAX(F109-G109,0)</f>
        <v>0</v>
      </c>
      <c r="J109" s="6">
        <f>MAX(G109-F109,0)</f>
        <v>3</v>
      </c>
      <c r="K109" s="7">
        <v>1</v>
      </c>
      <c r="L109" s="5" t="s">
        <v>20</v>
      </c>
      <c r="M109" s="14" t="s">
        <v>921</v>
      </c>
      <c r="N109" s="16" t="s">
        <v>19</v>
      </c>
      <c r="O109" s="17" t="s">
        <v>19</v>
      </c>
      <c r="P109" s="16" t="s">
        <v>919</v>
      </c>
      <c r="Q109" s="16" t="s">
        <v>19</v>
      </c>
    </row>
    <row r="110" spans="1:17">
      <c r="A110" s="5" t="s">
        <v>440</v>
      </c>
      <c r="B110" s="5" t="s">
        <v>26</v>
      </c>
      <c r="C110" s="5" t="s">
        <v>441</v>
      </c>
      <c r="D110" s="5" t="s">
        <v>444</v>
      </c>
      <c r="E110" s="5" t="s">
        <v>445</v>
      </c>
      <c r="F110" s="6">
        <v>2</v>
      </c>
      <c r="G110" s="6">
        <v>4</v>
      </c>
      <c r="H110" s="7">
        <f>IF(F110&gt;0,G110/F110,"n/a")</f>
        <v>2.0</v>
      </c>
      <c r="I110" s="6">
        <f>MAX(F110-G110,0)</f>
        <v>0</v>
      </c>
      <c r="J110" s="6">
        <f>MAX(G110-F110,0)</f>
        <v>2</v>
      </c>
      <c r="K110" s="7" t="s">
        <v>928</v>
      </c>
      <c r="L110" s="5" t="s">
        <v>100</v>
      </c>
      <c r="M110" s="14" t="s">
        <v>921</v>
      </c>
      <c r="N110" s="16" t="s">
        <v>19</v>
      </c>
      <c r="O110" s="17" t="s">
        <v>19</v>
      </c>
      <c r="P110" s="16" t="s">
        <v>919</v>
      </c>
      <c r="Q110" s="16" t="s">
        <v>19</v>
      </c>
    </row>
    <row r="111" spans="1:17">
      <c r="A111" s="5" t="s">
        <v>440</v>
      </c>
      <c r="B111" s="5" t="s">
        <v>26</v>
      </c>
      <c r="C111" s="5" t="s">
        <v>486</v>
      </c>
      <c r="D111" s="5" t="s">
        <v>493</v>
      </c>
      <c r="E111" s="5" t="s">
        <v>494</v>
      </c>
      <c r="F111" s="6">
        <v>19</v>
      </c>
      <c r="G111" s="6">
        <v>21</v>
      </c>
      <c r="H111" s="7">
        <f>IF(F111&gt;0,G111/F111,"n/a")</f>
        <v>1.105</v>
      </c>
      <c r="I111" s="6">
        <f>MAX(F111-G111,0)</f>
        <v>0</v>
      </c>
      <c r="J111" s="6">
        <f>MAX(G111-F111,0)</f>
        <v>2</v>
      </c>
      <c r="K111" s="7">
        <v>1</v>
      </c>
      <c r="L111" s="5" t="s">
        <v>20</v>
      </c>
      <c r="M111" s="14" t="s">
        <v>921</v>
      </c>
      <c r="N111" s="16" t="s">
        <v>19</v>
      </c>
      <c r="O111" s="17" t="s">
        <v>19</v>
      </c>
      <c r="P111" s="16" t="s">
        <v>919</v>
      </c>
      <c r="Q111" s="16" t="s">
        <v>19</v>
      </c>
    </row>
    <row r="112" spans="1:17">
      <c r="A112" s="5" t="s">
        <v>440</v>
      </c>
      <c r="B112" s="5" t="s">
        <v>26</v>
      </c>
      <c r="C112" s="5" t="s">
        <v>441</v>
      </c>
      <c r="D112" s="5" t="s">
        <v>466</v>
      </c>
      <c r="E112" s="5" t="s">
        <v>467</v>
      </c>
      <c r="F112" s="6">
        <v>8</v>
      </c>
      <c r="G112" s="6">
        <v>9</v>
      </c>
      <c r="H112" s="7">
        <f>IF(F112&gt;0,G112/F112,"n/a")</f>
        <v>1.125</v>
      </c>
      <c r="I112" s="6">
        <f>MAX(F112-G112,0)</f>
        <v>0</v>
      </c>
      <c r="J112" s="6">
        <f>MAX(G112-F112,0)</f>
        <v>1</v>
      </c>
      <c r="K112" s="7" t="s">
        <v>928</v>
      </c>
      <c r="L112" s="5" t="s">
        <v>100</v>
      </c>
      <c r="M112" s="14" t="s">
        <v>921</v>
      </c>
      <c r="N112" s="16" t="s">
        <v>19</v>
      </c>
      <c r="O112" s="17" t="s">
        <v>19</v>
      </c>
      <c r="P112" s="16" t="s">
        <v>919</v>
      </c>
      <c r="Q112" s="16" t="s">
        <v>19</v>
      </c>
    </row>
    <row r="113" spans="1:17">
      <c r="A113" s="5" t="s">
        <v>440</v>
      </c>
      <c r="B113" s="5" t="s">
        <v>26</v>
      </c>
      <c r="C113" s="5" t="s">
        <v>468</v>
      </c>
      <c r="D113" s="5" t="s">
        <v>473</v>
      </c>
      <c r="E113" s="5" t="s">
        <v>474</v>
      </c>
      <c r="F113" s="6">
        <v>4</v>
      </c>
      <c r="G113" s="6">
        <v>5</v>
      </c>
      <c r="H113" s="7">
        <f>IF(F113&gt;0,G113/F113,"n/a")</f>
        <v>1.25</v>
      </c>
      <c r="I113" s="6">
        <f>MAX(F113-G113,0)</f>
        <v>0</v>
      </c>
      <c r="J113" s="6">
        <f>MAX(G113-F113,0)</f>
        <v>1</v>
      </c>
      <c r="K113" s="7">
        <v>1.125</v>
      </c>
      <c r="L113" s="5" t="s">
        <v>20</v>
      </c>
      <c r="M113" s="14" t="s">
        <v>921</v>
      </c>
      <c r="N113" s="16" t="s">
        <v>19</v>
      </c>
      <c r="O113" s="17" t="s">
        <v>19</v>
      </c>
      <c r="P113" s="16" t="s">
        <v>919</v>
      </c>
      <c r="Q113" s="16" t="s">
        <v>19</v>
      </c>
    </row>
    <row r="114" spans="1:17">
      <c r="A114" s="5" t="s">
        <v>440</v>
      </c>
      <c r="B114" s="5" t="s">
        <v>45</v>
      </c>
      <c r="C114" s="5" t="s">
        <v>486</v>
      </c>
      <c r="D114" s="5" t="s">
        <v>505</v>
      </c>
      <c r="E114" s="5" t="s">
        <v>506</v>
      </c>
      <c r="F114" s="6">
        <v>24</v>
      </c>
      <c r="G114" s="6">
        <v>14</v>
      </c>
      <c r="H114" s="7">
        <f>IF(F114&gt;0,G114/F114,"n/a")</f>
        <v>0.583</v>
      </c>
      <c r="I114" s="6">
        <f>MAX(F114-G114,0)</f>
        <v>10</v>
      </c>
      <c r="J114" s="6">
        <f>MAX(G114-F114,0)</f>
        <v>0</v>
      </c>
      <c r="K114" s="7">
        <v>0</v>
      </c>
      <c r="L114" s="5" t="s">
        <v>46</v>
      </c>
      <c r="M114" s="14" t="s">
        <v>923</v>
      </c>
      <c r="N114" s="16" t="s">
        <v>19</v>
      </c>
      <c r="O114" s="17" t="s">
        <v>19</v>
      </c>
      <c r="P114" s="16" t="s">
        <v>919</v>
      </c>
      <c r="Q114" s="16" t="s">
        <v>19</v>
      </c>
    </row>
    <row r="115" spans="1:17">
      <c r="A115" s="5" t="s">
        <v>440</v>
      </c>
      <c r="B115" s="5" t="s">
        <v>45</v>
      </c>
      <c r="C115" s="5" t="s">
        <v>441</v>
      </c>
      <c r="D115" s="5" t="s">
        <v>458</v>
      </c>
      <c r="E115" s="5" t="s">
        <v>459</v>
      </c>
      <c r="F115" s="6">
        <v>7</v>
      </c>
      <c r="G115" s="6">
        <v>4</v>
      </c>
      <c r="H115" s="7">
        <f>IF(F115&gt;0,G115/F115,"n/a")</f>
        <v>0.5710000000000001</v>
      </c>
      <c r="I115" s="6">
        <f>MAX(F115-G115,0)</f>
        <v>3</v>
      </c>
      <c r="J115" s="6">
        <f>MAX(G115-F115,0)</f>
        <v>0</v>
      </c>
      <c r="K115" s="7">
        <v>1</v>
      </c>
      <c r="L115" s="5" t="s">
        <v>68</v>
      </c>
      <c r="M115" s="14" t="s">
        <v>922</v>
      </c>
      <c r="N115" s="16" t="s">
        <v>19</v>
      </c>
      <c r="O115" s="17" t="s">
        <v>19</v>
      </c>
      <c r="P115" s="16" t="s">
        <v>919</v>
      </c>
      <c r="Q115" s="16" t="s">
        <v>19</v>
      </c>
    </row>
    <row r="116" spans="1:17">
      <c r="A116" s="5" t="s">
        <v>440</v>
      </c>
      <c r="B116" s="5" t="s">
        <v>45</v>
      </c>
      <c r="C116" s="5" t="s">
        <v>486</v>
      </c>
      <c r="D116" s="5" t="s">
        <v>503</v>
      </c>
      <c r="E116" s="5" t="s">
        <v>504</v>
      </c>
      <c r="F116" s="6">
        <v>3</v>
      </c>
      <c r="G116" s="6">
        <v>2</v>
      </c>
      <c r="H116" s="7">
        <f>IF(F116&gt;0,G116/F116,"n/a")</f>
        <v>0.667</v>
      </c>
      <c r="I116" s="6">
        <f>MAX(F116-G116,0)</f>
        <v>1</v>
      </c>
      <c r="J116" s="6">
        <f>MAX(G116-F116,0)</f>
        <v>0</v>
      </c>
      <c r="K116" s="7">
        <v>1</v>
      </c>
      <c r="L116" s="5" t="s">
        <v>68</v>
      </c>
      <c r="M116" s="14" t="s">
        <v>922</v>
      </c>
      <c r="N116" s="16" t="s">
        <v>19</v>
      </c>
      <c r="O116" s="17" t="s">
        <v>19</v>
      </c>
      <c r="P116" s="16" t="s">
        <v>919</v>
      </c>
      <c r="Q116" s="16" t="s">
        <v>19</v>
      </c>
    </row>
    <row r="117" spans="1:17">
      <c r="A117" s="5" t="s">
        <v>517</v>
      </c>
      <c r="B117" s="5" t="s">
        <v>67</v>
      </c>
      <c r="C117" s="5" t="s">
        <v>542</v>
      </c>
      <c r="D117" s="5" t="s">
        <v>509</v>
      </c>
      <c r="E117" s="5" t="s">
        <v>559</v>
      </c>
      <c r="F117" s="6">
        <v>6</v>
      </c>
      <c r="G117" s="6">
        <v>0</v>
      </c>
      <c r="H117" s="7">
        <f>IF(F117&gt;0,G117/F117,"n/a")</f>
        <v>0.0</v>
      </c>
      <c r="I117" s="6">
        <f>MAX(F117-G117,0)</f>
        <v>6</v>
      </c>
      <c r="J117" s="6">
        <f>MAX(G117-F117,0)</f>
        <v>0</v>
      </c>
      <c r="K117" s="7" t="s">
        <v>928</v>
      </c>
      <c r="L117" s="5" t="s">
        <v>100</v>
      </c>
      <c r="M117" s="14" t="s">
        <v>930</v>
      </c>
      <c r="N117" s="16" t="s">
        <v>19</v>
      </c>
      <c r="O117" s="17" t="s">
        <v>19</v>
      </c>
      <c r="P117" s="16" t="s">
        <v>919</v>
      </c>
      <c r="Q117" s="16" t="s">
        <v>19</v>
      </c>
    </row>
    <row r="118" spans="1:17">
      <c r="A118" s="5" t="s">
        <v>517</v>
      </c>
      <c r="B118" s="5" t="s">
        <v>67</v>
      </c>
      <c r="C118" s="5" t="s">
        <v>578</v>
      </c>
      <c r="D118" s="5" t="s">
        <v>578</v>
      </c>
      <c r="E118" s="5" t="s">
        <v>579</v>
      </c>
      <c r="F118" s="6">
        <v>5</v>
      </c>
      <c r="G118" s="6">
        <v>0</v>
      </c>
      <c r="H118" s="7">
        <f>IF(F118&gt;0,G118/F118,"n/a")</f>
        <v>0.0</v>
      </c>
      <c r="I118" s="6">
        <f>MAX(F118-G118,0)</f>
        <v>5</v>
      </c>
      <c r="J118" s="6">
        <f>MAX(G118-F118,0)</f>
        <v>0</v>
      </c>
      <c r="K118" s="7" t="s">
        <v>928</v>
      </c>
      <c r="L118" s="5" t="s">
        <v>100</v>
      </c>
      <c r="M118" s="14" t="s">
        <v>930</v>
      </c>
      <c r="N118" s="16" t="s">
        <v>19</v>
      </c>
      <c r="O118" s="17" t="s">
        <v>19</v>
      </c>
      <c r="P118" s="16" t="s">
        <v>919</v>
      </c>
      <c r="Q118" s="16" t="s">
        <v>19</v>
      </c>
    </row>
    <row r="119" spans="1:17">
      <c r="A119" s="5" t="s">
        <v>517</v>
      </c>
      <c r="B119" s="5" t="s">
        <v>67</v>
      </c>
      <c r="C119" s="5" t="s">
        <v>572</v>
      </c>
      <c r="D119" s="5" t="s">
        <v>572</v>
      </c>
      <c r="E119" s="5" t="s">
        <v>577</v>
      </c>
      <c r="F119" s="6">
        <v>2</v>
      </c>
      <c r="G119" s="6">
        <v>0</v>
      </c>
      <c r="H119" s="7">
        <f>IF(F119&gt;0,G119/F119,"n/a")</f>
        <v>0.0</v>
      </c>
      <c r="I119" s="6">
        <f>MAX(F119-G119,0)</f>
        <v>2</v>
      </c>
      <c r="J119" s="6">
        <f>MAX(G119-F119,0)</f>
        <v>0</v>
      </c>
      <c r="K119" s="7" t="s">
        <v>928</v>
      </c>
      <c r="L119" s="5" t="s">
        <v>100</v>
      </c>
      <c r="M119" s="14" t="s">
        <v>930</v>
      </c>
      <c r="N119" s="16" t="s">
        <v>19</v>
      </c>
      <c r="O119" s="17" t="s">
        <v>19</v>
      </c>
      <c r="P119" s="16" t="s">
        <v>919</v>
      </c>
      <c r="Q119" s="16" t="s">
        <v>19</v>
      </c>
    </row>
    <row r="120" spans="1:17">
      <c r="A120" s="5" t="s">
        <v>517</v>
      </c>
      <c r="B120" s="5" t="s">
        <v>26</v>
      </c>
      <c r="C120" s="5" t="s">
        <v>542</v>
      </c>
      <c r="D120" s="5" t="s">
        <v>557</v>
      </c>
      <c r="E120" s="5" t="s">
        <v>558</v>
      </c>
      <c r="F120" s="6">
        <v>66</v>
      </c>
      <c r="G120" s="6">
        <v>104</v>
      </c>
      <c r="H120" s="7">
        <f>IF(F120&gt;0,G120/F120,"n/a")</f>
        <v>1.5759999999999998</v>
      </c>
      <c r="I120" s="6">
        <f>MAX(F120-G120,0)</f>
        <v>0</v>
      </c>
      <c r="J120" s="6">
        <f>MAX(G120-F120,0)</f>
        <v>38</v>
      </c>
      <c r="K120" s="7">
        <v>0</v>
      </c>
      <c r="L120" s="5" t="s">
        <v>23</v>
      </c>
      <c r="M120" s="14" t="s">
        <v>921</v>
      </c>
      <c r="N120" s="16" t="s">
        <v>19</v>
      </c>
      <c r="O120" s="17" t="s">
        <v>19</v>
      </c>
      <c r="P120" s="16" t="s">
        <v>919</v>
      </c>
      <c r="Q120" s="16" t="s">
        <v>19</v>
      </c>
    </row>
    <row r="121" spans="1:17">
      <c r="A121" s="5" t="s">
        <v>517</v>
      </c>
      <c r="B121" s="5" t="s">
        <v>26</v>
      </c>
      <c r="C121" s="5" t="s">
        <v>518</v>
      </c>
      <c r="D121" s="5" t="s">
        <v>519</v>
      </c>
      <c r="E121" s="5" t="s">
        <v>520</v>
      </c>
      <c r="F121" s="6">
        <v>16</v>
      </c>
      <c r="G121" s="6">
        <v>32</v>
      </c>
      <c r="H121" s="7">
        <f>IF(F121&gt;0,G121/F121,"n/a")</f>
        <v>2.0</v>
      </c>
      <c r="I121" s="6">
        <f>MAX(F121-G121,0)</f>
        <v>0</v>
      </c>
      <c r="J121" s="6">
        <f>MAX(G121-F121,0)</f>
        <v>16</v>
      </c>
      <c r="K121" s="7" t="s">
        <v>928</v>
      </c>
      <c r="L121" s="5" t="s">
        <v>100</v>
      </c>
      <c r="M121" s="14" t="s">
        <v>921</v>
      </c>
      <c r="N121" s="16" t="s">
        <v>19</v>
      </c>
      <c r="O121" s="17" t="s">
        <v>19</v>
      </c>
      <c r="P121" s="16" t="s">
        <v>919</v>
      </c>
      <c r="Q121" s="16" t="s">
        <v>19</v>
      </c>
    </row>
    <row r="122" spans="1:17">
      <c r="A122" s="5" t="s">
        <v>517</v>
      </c>
      <c r="B122" s="5" t="s">
        <v>26</v>
      </c>
      <c r="C122" s="5" t="s">
        <v>542</v>
      </c>
      <c r="D122" s="5" t="s">
        <v>555</v>
      </c>
      <c r="E122" s="5" t="s">
        <v>556</v>
      </c>
      <c r="F122" s="6">
        <v>15</v>
      </c>
      <c r="G122" s="6">
        <v>24</v>
      </c>
      <c r="H122" s="7">
        <f>IF(F122&gt;0,G122/F122,"n/a")</f>
        <v>1.6</v>
      </c>
      <c r="I122" s="6">
        <f>MAX(F122-G122,0)</f>
        <v>0</v>
      </c>
      <c r="J122" s="6">
        <f>MAX(G122-F122,0)</f>
        <v>9</v>
      </c>
      <c r="K122" s="7" t="s">
        <v>928</v>
      </c>
      <c r="L122" s="5" t="s">
        <v>100</v>
      </c>
      <c r="M122" s="14" t="s">
        <v>921</v>
      </c>
      <c r="N122" s="16" t="s">
        <v>19</v>
      </c>
      <c r="O122" s="17" t="s">
        <v>19</v>
      </c>
      <c r="P122" s="16" t="s">
        <v>919</v>
      </c>
      <c r="Q122" s="16" t="s">
        <v>19</v>
      </c>
    </row>
    <row r="123" spans="1:17">
      <c r="A123" s="5" t="s">
        <v>517</v>
      </c>
      <c r="B123" s="5" t="s">
        <v>26</v>
      </c>
      <c r="C123" s="5" t="s">
        <v>542</v>
      </c>
      <c r="D123" s="5" t="s">
        <v>543</v>
      </c>
      <c r="E123" s="5" t="s">
        <v>544</v>
      </c>
      <c r="F123" s="6">
        <v>5</v>
      </c>
      <c r="G123" s="6">
        <v>8</v>
      </c>
      <c r="H123" s="7">
        <f>IF(F123&gt;0,G123/F123,"n/a")</f>
        <v>1.6</v>
      </c>
      <c r="I123" s="6">
        <f>MAX(F123-G123,0)</f>
        <v>0</v>
      </c>
      <c r="J123" s="6">
        <f>MAX(G123-F123,0)</f>
        <v>3</v>
      </c>
      <c r="K123" s="7" t="s">
        <v>928</v>
      </c>
      <c r="L123" s="5" t="s">
        <v>100</v>
      </c>
      <c r="M123" s="14" t="s">
        <v>921</v>
      </c>
      <c r="N123" s="16" t="s">
        <v>19</v>
      </c>
      <c r="O123" s="17" t="s">
        <v>19</v>
      </c>
      <c r="P123" s="16" t="s">
        <v>919</v>
      </c>
      <c r="Q123" s="16" t="s">
        <v>19</v>
      </c>
    </row>
    <row r="124" spans="1:17">
      <c r="A124" s="5" t="s">
        <v>517</v>
      </c>
      <c r="B124" s="5" t="s">
        <v>26</v>
      </c>
      <c r="C124" s="5" t="s">
        <v>518</v>
      </c>
      <c r="D124" s="5" t="s">
        <v>528</v>
      </c>
      <c r="E124" s="5" t="s">
        <v>529</v>
      </c>
      <c r="F124" s="6">
        <v>4</v>
      </c>
      <c r="G124" s="6">
        <v>6</v>
      </c>
      <c r="H124" s="7">
        <f>IF(F124&gt;0,G124/F124,"n/a")</f>
        <v>1.5</v>
      </c>
      <c r="I124" s="6">
        <f>MAX(F124-G124,0)</f>
        <v>0</v>
      </c>
      <c r="J124" s="6">
        <f>MAX(G124-F124,0)</f>
        <v>2</v>
      </c>
      <c r="K124" s="7">
        <v>0</v>
      </c>
      <c r="L124" s="5" t="s">
        <v>23</v>
      </c>
      <c r="M124" s="14" t="s">
        <v>921</v>
      </c>
      <c r="N124" s="16" t="s">
        <v>19</v>
      </c>
      <c r="O124" s="17" t="s">
        <v>19</v>
      </c>
      <c r="P124" s="16" t="s">
        <v>919</v>
      </c>
      <c r="Q124" s="16" t="s">
        <v>19</v>
      </c>
    </row>
    <row r="125" spans="1:17">
      <c r="A125" s="5" t="s">
        <v>517</v>
      </c>
      <c r="B125" s="5" t="s">
        <v>244</v>
      </c>
      <c r="C125" s="5" t="s">
        <v>542</v>
      </c>
      <c r="D125" s="5" t="s">
        <v>553</v>
      </c>
      <c r="E125" s="5" t="s">
        <v>554</v>
      </c>
      <c r="F125" s="6">
        <v>0</v>
      </c>
      <c r="G125" s="6">
        <v>2</v>
      </c>
      <c r="H125" s="7" t="str">
        <f>IF(F125&gt;0,G125/F125,"n/a")</f>
        <v>n/a</v>
      </c>
      <c r="I125" s="6">
        <f>MAX(F125-G125,0)</f>
        <v>0</v>
      </c>
      <c r="J125" s="6">
        <f>MAX(G125-F125,0)</f>
        <v>2</v>
      </c>
      <c r="K125" s="7" t="s">
        <v>928</v>
      </c>
      <c r="L125" s="5" t="s">
        <v>100</v>
      </c>
      <c r="M125" s="14" t="s">
        <v>929</v>
      </c>
      <c r="N125" s="16" t="s">
        <v>19</v>
      </c>
      <c r="O125" s="17" t="s">
        <v>19</v>
      </c>
      <c r="P125" s="16" t="s">
        <v>919</v>
      </c>
      <c r="Q125" s="16" t="s">
        <v>19</v>
      </c>
    </row>
    <row r="126" spans="1:17">
      <c r="A126" s="5" t="s">
        <v>517</v>
      </c>
      <c r="B126" s="5" t="s">
        <v>26</v>
      </c>
      <c r="C126" s="5" t="s">
        <v>582</v>
      </c>
      <c r="D126" s="5" t="s">
        <v>583</v>
      </c>
      <c r="E126" s="5" t="s">
        <v>584</v>
      </c>
      <c r="F126" s="6">
        <v>5</v>
      </c>
      <c r="G126" s="6">
        <v>6</v>
      </c>
      <c r="H126" s="7">
        <f>IF(F126&gt;0,G126/F126,"n/a")</f>
        <v>1.2</v>
      </c>
      <c r="I126" s="6">
        <f>MAX(F126-G126,0)</f>
        <v>0</v>
      </c>
      <c r="J126" s="6">
        <f>MAX(G126-F126,0)</f>
        <v>1</v>
      </c>
      <c r="K126" s="7">
        <v>0</v>
      </c>
      <c r="L126" s="5" t="s">
        <v>23</v>
      </c>
      <c r="M126" s="14" t="s">
        <v>921</v>
      </c>
      <c r="N126" s="16" t="s">
        <v>19</v>
      </c>
      <c r="O126" s="17" t="s">
        <v>19</v>
      </c>
      <c r="P126" s="16" t="s">
        <v>919</v>
      </c>
      <c r="Q126" s="16" t="s">
        <v>19</v>
      </c>
    </row>
    <row r="127" spans="1:17">
      <c r="A127" s="5" t="s">
        <v>517</v>
      </c>
      <c r="B127" s="5" t="s">
        <v>26</v>
      </c>
      <c r="C127" s="5" t="s">
        <v>582</v>
      </c>
      <c r="D127" s="5" t="s">
        <v>585</v>
      </c>
      <c r="E127" s="5" t="s">
        <v>586</v>
      </c>
      <c r="F127" s="6">
        <v>3</v>
      </c>
      <c r="G127" s="6">
        <v>4</v>
      </c>
      <c r="H127" s="7">
        <f>IF(F127&gt;0,G127/F127,"n/a")</f>
        <v>1.3330000000000002</v>
      </c>
      <c r="I127" s="6">
        <f>MAX(F127-G127,0)</f>
        <v>0</v>
      </c>
      <c r="J127" s="6">
        <f>MAX(G127-F127,0)</f>
        <v>1</v>
      </c>
      <c r="K127" s="7" t="s">
        <v>928</v>
      </c>
      <c r="L127" s="5" t="s">
        <v>100</v>
      </c>
      <c r="M127" s="14" t="s">
        <v>921</v>
      </c>
      <c r="N127" s="16" t="s">
        <v>19</v>
      </c>
      <c r="O127" s="17" t="s">
        <v>19</v>
      </c>
      <c r="P127" s="16" t="s">
        <v>919</v>
      </c>
      <c r="Q127" s="16" t="s">
        <v>19</v>
      </c>
    </row>
    <row r="128" spans="1:17">
      <c r="A128" s="5" t="s">
        <v>517</v>
      </c>
      <c r="B128" s="5" t="s">
        <v>45</v>
      </c>
      <c r="C128" s="5" t="s">
        <v>542</v>
      </c>
      <c r="D128" s="5" t="s">
        <v>551</v>
      </c>
      <c r="E128" s="5" t="s">
        <v>552</v>
      </c>
      <c r="F128" s="6">
        <v>7</v>
      </c>
      <c r="G128" s="6">
        <v>5</v>
      </c>
      <c r="H128" s="7">
        <f>IF(F128&gt;0,G128/F128,"n/a")</f>
        <v>0.7140000000000001</v>
      </c>
      <c r="I128" s="6">
        <f>MAX(F128-G128,0)</f>
        <v>2</v>
      </c>
      <c r="J128" s="6">
        <f>MAX(G128-F128,0)</f>
        <v>0</v>
      </c>
      <c r="K128" s="7">
        <v>0</v>
      </c>
      <c r="L128" s="5" t="s">
        <v>46</v>
      </c>
      <c r="M128" s="14" t="s">
        <v>923</v>
      </c>
      <c r="N128" s="16" t="s">
        <v>19</v>
      </c>
      <c r="O128" s="17" t="s">
        <v>19</v>
      </c>
      <c r="P128" s="16" t="s">
        <v>919</v>
      </c>
      <c r="Q128" s="16" t="s">
        <v>19</v>
      </c>
    </row>
  </sheetData>
  <autoFilter ref="A4:Q128"/>
  <conditionalFormatting sqref="B5:B128">
    <cfRule type="beginsWith" dxfId="0" priority="1" operator="beginsWith" text="P1">
      <formula>LEFT(B5,2)="P1"</formula>
    </cfRule>
    <cfRule type="beginsWith" dxfId="1" priority="2" operator="beginsWith" text="P2">
      <formula>LEFT(B5,2)="P2"</formula>
    </cfRule>
    <cfRule type="beginsWith" dxfId="2" priority="3" operator="beginsWith" text="P3">
      <formula>LEFT(B5,2)="P3"</formula>
    </cfRule>
    <cfRule type="beginsWith" dxfId="3" priority="4" operator="beginsWith" text="P4">
      <formula>LEFT(B5,2)="P4"</formula>
    </cfRule>
  </conditionalFormatting>
  <conditionalFormatting sqref="L5:L128">
    <cfRule type="beginsWith" dxfId="4" priority="5" operator="beginsWith" text="Persistent low">
      <formula>LEFT(L5,14)="Persistent low"</formula>
    </cfRule>
    <cfRule type="beginsWith" dxfId="5" priority="6" operator="beginsWith" text="Newly declined">
      <formula>LEFT(L5,14)="Newly declined"</formula>
    </cfRule>
    <cfRule type="beginsWith" dxfId="6" priority="7" operator="beginsWith" text="Recovered">
      <formula>LEFT(L5,9)="Recovered"</formula>
    </cfRule>
  </conditionalFormatting>
  <conditionalFormatting sqref="P5:P128">
    <cfRule type="cellIs" dxfId="7" priority="8" operator="equal">
      <formula>"Done"</formula>
    </cfRule>
  </conditionalFormatting>
  <dataValidations count="2">
    <dataValidation type="list" allowBlank="1" showInputMessage="1" showErrorMessage="1" sqref="P5:P128">
      <formula1>"Not started,In progress,Done,Verified – no issue"</formula1>
    </dataValidation>
    <dataValidation type="date" operator="greaterThanOrEqual" allowBlank="1" showInputMessage="1" showErrorMessage="1" error="Enter a date on or after 09-Oct-2026." sqref="O5:O128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931</v>
      </c>
    </row>
    <row r="2" spans="1:16">
      <c r="A2" s="2" t="s">
        <v>932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67</v>
      </c>
      <c r="B5" s="5" t="s">
        <v>107</v>
      </c>
      <c r="C5" s="5" t="s">
        <v>110</v>
      </c>
      <c r="D5" s="5" t="s">
        <v>111</v>
      </c>
      <c r="E5" s="6">
        <v>135</v>
      </c>
      <c r="F5" s="6">
        <v>0</v>
      </c>
      <c r="G5" s="7">
        <f>IF(E5&gt;0,F5/E5,"n/a")</f>
        <v>0.0</v>
      </c>
      <c r="H5" s="6">
        <f>MAX(E5-F5,0)</f>
        <v>135</v>
      </c>
      <c r="I5" s="6">
        <f>MAX(F5-E5,0)</f>
        <v>0</v>
      </c>
      <c r="J5" s="7">
        <v>0.9790000000000001</v>
      </c>
      <c r="K5" s="5" t="s">
        <v>68</v>
      </c>
      <c r="L5" s="14" t="s">
        <v>918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67</v>
      </c>
      <c r="B6" s="5" t="s">
        <v>15</v>
      </c>
      <c r="C6" s="5" t="s">
        <v>65</v>
      </c>
      <c r="D6" s="5" t="s">
        <v>66</v>
      </c>
      <c r="E6" s="6">
        <v>120</v>
      </c>
      <c r="F6" s="6">
        <v>0</v>
      </c>
      <c r="G6" s="7">
        <f>IF(E6&gt;0,F6/E6,"n/a")</f>
        <v>0.0</v>
      </c>
      <c r="H6" s="6">
        <f>MAX(E6-F6,0)</f>
        <v>120</v>
      </c>
      <c r="I6" s="6">
        <f>MAX(F6-E6,0)</f>
        <v>0</v>
      </c>
      <c r="J6" s="7">
        <v>1</v>
      </c>
      <c r="K6" s="5" t="s">
        <v>68</v>
      </c>
      <c r="L6" s="14" t="s">
        <v>918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67</v>
      </c>
      <c r="B7" s="5" t="s">
        <v>107</v>
      </c>
      <c r="C7" s="5" t="s">
        <v>116</v>
      </c>
      <c r="D7" s="5" t="s">
        <v>117</v>
      </c>
      <c r="E7" s="6">
        <v>111</v>
      </c>
      <c r="F7" s="6">
        <v>0</v>
      </c>
      <c r="G7" s="7">
        <f>IF(E7&gt;0,F7/E7,"n/a")</f>
        <v>0.0</v>
      </c>
      <c r="H7" s="6">
        <f>MAX(E7-F7,0)</f>
        <v>111</v>
      </c>
      <c r="I7" s="6">
        <f>MAX(F7-E7,0)</f>
        <v>0</v>
      </c>
      <c r="J7" s="7">
        <v>1.053</v>
      </c>
      <c r="K7" s="5" t="s">
        <v>68</v>
      </c>
      <c r="L7" s="14" t="s">
        <v>918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67</v>
      </c>
      <c r="B8" s="5" t="s">
        <v>83</v>
      </c>
      <c r="C8" s="5" t="s">
        <v>88</v>
      </c>
      <c r="D8" s="5" t="s">
        <v>89</v>
      </c>
      <c r="E8" s="6">
        <v>89</v>
      </c>
      <c r="F8" s="6">
        <v>0</v>
      </c>
      <c r="G8" s="7">
        <f>IF(E8&gt;0,F8/E8,"n/a")</f>
        <v>0.0</v>
      </c>
      <c r="H8" s="6">
        <f>MAX(E8-F8,0)</f>
        <v>89</v>
      </c>
      <c r="I8" s="6">
        <f>MAX(F8-E8,0)</f>
        <v>0</v>
      </c>
      <c r="J8" s="7">
        <v>0</v>
      </c>
      <c r="K8" s="5" t="s">
        <v>46</v>
      </c>
      <c r="L8" s="14" t="s">
        <v>920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26</v>
      </c>
      <c r="B9" s="5" t="s">
        <v>83</v>
      </c>
      <c r="C9" s="5" t="s">
        <v>86</v>
      </c>
      <c r="D9" s="5" t="s">
        <v>87</v>
      </c>
      <c r="E9" s="6">
        <v>60</v>
      </c>
      <c r="F9" s="6">
        <v>174</v>
      </c>
      <c r="G9" s="7">
        <f>IF(E9&gt;0,F9/E9,"n/a")</f>
        <v>2.9</v>
      </c>
      <c r="H9" s="6">
        <f>MAX(E9-F9,0)</f>
        <v>0</v>
      </c>
      <c r="I9" s="6">
        <f>MAX(F9-E9,0)</f>
        <v>114</v>
      </c>
      <c r="J9" s="7">
        <v>0</v>
      </c>
      <c r="K9" s="5" t="s">
        <v>23</v>
      </c>
      <c r="L9" s="14" t="s">
        <v>921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26</v>
      </c>
      <c r="B10" s="5" t="s">
        <v>107</v>
      </c>
      <c r="C10" s="5" t="s">
        <v>112</v>
      </c>
      <c r="D10" s="5" t="s">
        <v>113</v>
      </c>
      <c r="E10" s="6">
        <v>99</v>
      </c>
      <c r="F10" s="6">
        <v>212</v>
      </c>
      <c r="G10" s="7">
        <f>IF(E10&gt;0,F10/E10,"n/a")</f>
        <v>2.141</v>
      </c>
      <c r="H10" s="6">
        <f>MAX(E10-F10,0)</f>
        <v>0</v>
      </c>
      <c r="I10" s="6">
        <f>MAX(F10-E10,0)</f>
        <v>113</v>
      </c>
      <c r="J10" s="7">
        <v>0.5679999999999999</v>
      </c>
      <c r="K10" s="5" t="s">
        <v>23</v>
      </c>
      <c r="L10" s="14" t="s">
        <v>921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26</v>
      </c>
      <c r="B11" s="5" t="s">
        <v>15</v>
      </c>
      <c r="C11" s="5" t="s">
        <v>79</v>
      </c>
      <c r="D11" s="5" t="s">
        <v>80</v>
      </c>
      <c r="E11" s="6">
        <v>122</v>
      </c>
      <c r="F11" s="6">
        <v>157</v>
      </c>
      <c r="G11" s="7">
        <f>IF(E11&gt;0,F11/E11,"n/a")</f>
        <v>1.287</v>
      </c>
      <c r="H11" s="6">
        <f>MAX(E11-F11,0)</f>
        <v>0</v>
      </c>
      <c r="I11" s="6">
        <f>MAX(F11-E11,0)</f>
        <v>35</v>
      </c>
      <c r="J11" s="7">
        <v>0.556</v>
      </c>
      <c r="K11" s="5" t="s">
        <v>23</v>
      </c>
      <c r="L11" s="14" t="s">
        <v>921</v>
      </c>
      <c r="M11" s="16" t="s">
        <v>19</v>
      </c>
      <c r="N11" s="17" t="s">
        <v>19</v>
      </c>
      <c r="O11" s="16" t="s">
        <v>919</v>
      </c>
      <c r="P11" s="16" t="s">
        <v>19</v>
      </c>
    </row>
    <row r="12" spans="1:16">
      <c r="A12" s="5" t="s">
        <v>26</v>
      </c>
      <c r="B12" s="5" t="s">
        <v>16</v>
      </c>
      <c r="C12" s="5" t="s">
        <v>24</v>
      </c>
      <c r="D12" s="5" t="s">
        <v>25</v>
      </c>
      <c r="E12" s="6">
        <v>77</v>
      </c>
      <c r="F12" s="6">
        <v>110</v>
      </c>
      <c r="G12" s="7">
        <f>IF(E12&gt;0,F12/E12,"n/a")</f>
        <v>1.429</v>
      </c>
      <c r="H12" s="6">
        <f>MAX(E12-F12,0)</f>
        <v>0</v>
      </c>
      <c r="I12" s="6">
        <f>MAX(F12-E12,0)</f>
        <v>33</v>
      </c>
      <c r="J12" s="7">
        <v>1.011</v>
      </c>
      <c r="K12" s="5" t="s">
        <v>20</v>
      </c>
      <c r="L12" s="14" t="s">
        <v>921</v>
      </c>
      <c r="M12" s="16" t="s">
        <v>19</v>
      </c>
      <c r="N12" s="17" t="s">
        <v>19</v>
      </c>
      <c r="O12" s="16" t="s">
        <v>919</v>
      </c>
      <c r="P12" s="16" t="s">
        <v>19</v>
      </c>
    </row>
    <row r="13" spans="1:16">
      <c r="A13" s="5" t="s">
        <v>26</v>
      </c>
      <c r="B13" s="5" t="s">
        <v>133</v>
      </c>
      <c r="C13" s="5" t="s">
        <v>136</v>
      </c>
      <c r="D13" s="5" t="s">
        <v>137</v>
      </c>
      <c r="E13" s="6">
        <v>24</v>
      </c>
      <c r="F13" s="6">
        <v>39</v>
      </c>
      <c r="G13" s="7">
        <f>IF(E13&gt;0,F13/E13,"n/a")</f>
        <v>1.625</v>
      </c>
      <c r="H13" s="6">
        <f>MAX(E13-F13,0)</f>
        <v>0</v>
      </c>
      <c r="I13" s="6">
        <f>MAX(F13-E13,0)</f>
        <v>15</v>
      </c>
      <c r="J13" s="7">
        <v>1</v>
      </c>
      <c r="K13" s="5" t="s">
        <v>20</v>
      </c>
      <c r="L13" s="14" t="s">
        <v>921</v>
      </c>
      <c r="M13" s="16" t="s">
        <v>19</v>
      </c>
      <c r="N13" s="17" t="s">
        <v>19</v>
      </c>
      <c r="O13" s="16" t="s">
        <v>919</v>
      </c>
      <c r="P13" s="16" t="s">
        <v>19</v>
      </c>
    </row>
    <row r="14" spans="1:16">
      <c r="A14" s="5" t="s">
        <v>26</v>
      </c>
      <c r="B14" s="5" t="s">
        <v>133</v>
      </c>
      <c r="C14" s="5" t="s">
        <v>140</v>
      </c>
      <c r="D14" s="5" t="s">
        <v>141</v>
      </c>
      <c r="E14" s="6">
        <v>16</v>
      </c>
      <c r="F14" s="6">
        <v>29</v>
      </c>
      <c r="G14" s="7">
        <f>IF(E14&gt;0,F14/E14,"n/a")</f>
        <v>1.8119999999999998</v>
      </c>
      <c r="H14" s="6">
        <f>MAX(E14-F14,0)</f>
        <v>0</v>
      </c>
      <c r="I14" s="6">
        <f>MAX(F14-E14,0)</f>
        <v>13</v>
      </c>
      <c r="J14" s="7">
        <v>0.8640000000000001</v>
      </c>
      <c r="K14" s="5" t="s">
        <v>20</v>
      </c>
      <c r="L14" s="14" t="s">
        <v>921</v>
      </c>
      <c r="M14" s="16" t="s">
        <v>19</v>
      </c>
      <c r="N14" s="17" t="s">
        <v>19</v>
      </c>
      <c r="O14" s="16" t="s">
        <v>919</v>
      </c>
      <c r="P14" s="16" t="s">
        <v>19</v>
      </c>
    </row>
    <row r="15" spans="1:16">
      <c r="A15" s="5" t="s">
        <v>26</v>
      </c>
      <c r="B15" s="5" t="s">
        <v>16</v>
      </c>
      <c r="C15" s="5" t="s">
        <v>27</v>
      </c>
      <c r="D15" s="5" t="s">
        <v>28</v>
      </c>
      <c r="E15" s="6">
        <v>10</v>
      </c>
      <c r="F15" s="6">
        <v>22</v>
      </c>
      <c r="G15" s="7">
        <f>IF(E15&gt;0,F15/E15,"n/a")</f>
        <v>2.2</v>
      </c>
      <c r="H15" s="6">
        <f>MAX(E15-F15,0)</f>
        <v>0</v>
      </c>
      <c r="I15" s="6">
        <f>MAX(F15-E15,0)</f>
        <v>12</v>
      </c>
      <c r="J15" s="7">
        <v>0</v>
      </c>
      <c r="K15" s="5" t="s">
        <v>23</v>
      </c>
      <c r="L15" s="14" t="s">
        <v>921</v>
      </c>
      <c r="M15" s="16" t="s">
        <v>19</v>
      </c>
      <c r="N15" s="17" t="s">
        <v>19</v>
      </c>
      <c r="O15" s="16" t="s">
        <v>919</v>
      </c>
      <c r="P15" s="16" t="s">
        <v>19</v>
      </c>
    </row>
    <row r="16" spans="1:16">
      <c r="A16" s="5" t="s">
        <v>26</v>
      </c>
      <c r="B16" s="5" t="s">
        <v>15</v>
      </c>
      <c r="C16" s="5" t="s">
        <v>41</v>
      </c>
      <c r="D16" s="5" t="s">
        <v>42</v>
      </c>
      <c r="E16" s="6">
        <v>61</v>
      </c>
      <c r="F16" s="6">
        <v>69</v>
      </c>
      <c r="G16" s="7">
        <f>IF(E16&gt;0,F16/E16,"n/a")</f>
        <v>1.131</v>
      </c>
      <c r="H16" s="6">
        <f>MAX(E16-F16,0)</f>
        <v>0</v>
      </c>
      <c r="I16" s="6">
        <f>MAX(F16-E16,0)</f>
        <v>8</v>
      </c>
      <c r="J16" s="7">
        <v>0.8090000000000001</v>
      </c>
      <c r="K16" s="5" t="s">
        <v>20</v>
      </c>
      <c r="L16" s="14" t="s">
        <v>921</v>
      </c>
      <c r="M16" s="16" t="s">
        <v>19</v>
      </c>
      <c r="N16" s="17" t="s">
        <v>19</v>
      </c>
      <c r="O16" s="16" t="s">
        <v>919</v>
      </c>
      <c r="P16" s="16" t="s">
        <v>19</v>
      </c>
    </row>
    <row r="17" spans="1:16">
      <c r="A17" s="5" t="s">
        <v>26</v>
      </c>
      <c r="B17" s="5" t="s">
        <v>83</v>
      </c>
      <c r="C17" s="5" t="s">
        <v>105</v>
      </c>
      <c r="D17" s="5" t="s">
        <v>106</v>
      </c>
      <c r="E17" s="6">
        <v>29</v>
      </c>
      <c r="F17" s="6">
        <v>35</v>
      </c>
      <c r="G17" s="7">
        <f>IF(E17&gt;0,F17/E17,"n/a")</f>
        <v>1.207</v>
      </c>
      <c r="H17" s="6">
        <f>MAX(E17-F17,0)</f>
        <v>0</v>
      </c>
      <c r="I17" s="6">
        <f>MAX(F17-E17,0)</f>
        <v>6</v>
      </c>
      <c r="J17" s="7">
        <v>1</v>
      </c>
      <c r="K17" s="5" t="s">
        <v>20</v>
      </c>
      <c r="L17" s="14" t="s">
        <v>921</v>
      </c>
      <c r="M17" s="16" t="s">
        <v>19</v>
      </c>
      <c r="N17" s="17" t="s">
        <v>19</v>
      </c>
      <c r="O17" s="16" t="s">
        <v>919</v>
      </c>
      <c r="P17" s="16" t="s">
        <v>19</v>
      </c>
    </row>
    <row r="18" spans="1:16">
      <c r="A18" s="5" t="s">
        <v>45</v>
      </c>
      <c r="B18" s="5" t="s">
        <v>15</v>
      </c>
      <c r="C18" s="5" t="s">
        <v>75</v>
      </c>
      <c r="D18" s="5" t="s">
        <v>76</v>
      </c>
      <c r="E18" s="6">
        <v>128</v>
      </c>
      <c r="F18" s="6">
        <v>67</v>
      </c>
      <c r="G18" s="7">
        <f>IF(E18&gt;0,F18/E18,"n/a")</f>
        <v>0.523</v>
      </c>
      <c r="H18" s="6">
        <f>MAX(E18-F18,0)</f>
        <v>61</v>
      </c>
      <c r="I18" s="6">
        <f>MAX(F18-E18,0)</f>
        <v>0</v>
      </c>
      <c r="J18" s="7">
        <v>0.9520000000000001</v>
      </c>
      <c r="K18" s="5" t="s">
        <v>68</v>
      </c>
      <c r="L18" s="14" t="s">
        <v>922</v>
      </c>
      <c r="M18" s="16" t="s">
        <v>19</v>
      </c>
      <c r="N18" s="17" t="s">
        <v>19</v>
      </c>
      <c r="O18" s="16" t="s">
        <v>919</v>
      </c>
      <c r="P18" s="16" t="s">
        <v>19</v>
      </c>
    </row>
    <row r="19" spans="1:16">
      <c r="A19" s="5" t="s">
        <v>45</v>
      </c>
      <c r="B19" s="5" t="s">
        <v>83</v>
      </c>
      <c r="C19" s="5" t="s">
        <v>94</v>
      </c>
      <c r="D19" s="5" t="s">
        <v>95</v>
      </c>
      <c r="E19" s="6">
        <v>89</v>
      </c>
      <c r="F19" s="6">
        <v>45</v>
      </c>
      <c r="G19" s="7">
        <f>IF(E19&gt;0,F19/E19,"n/a")</f>
        <v>0.506</v>
      </c>
      <c r="H19" s="6">
        <f>MAX(E19-F19,0)</f>
        <v>44</v>
      </c>
      <c r="I19" s="6">
        <f>MAX(F19-E19,0)</f>
        <v>0</v>
      </c>
      <c r="J19" s="7">
        <v>0.971</v>
      </c>
      <c r="K19" s="5" t="s">
        <v>68</v>
      </c>
      <c r="L19" s="14" t="s">
        <v>922</v>
      </c>
      <c r="M19" s="16" t="s">
        <v>19</v>
      </c>
      <c r="N19" s="17" t="s">
        <v>19</v>
      </c>
      <c r="O19" s="16" t="s">
        <v>919</v>
      </c>
      <c r="P19" s="16" t="s">
        <v>19</v>
      </c>
    </row>
    <row r="20" spans="1:16">
      <c r="A20" s="5" t="s">
        <v>45</v>
      </c>
      <c r="B20" s="5" t="s">
        <v>118</v>
      </c>
      <c r="C20" s="5" t="s">
        <v>131</v>
      </c>
      <c r="D20" s="5" t="s">
        <v>132</v>
      </c>
      <c r="E20" s="6">
        <v>88</v>
      </c>
      <c r="F20" s="6">
        <v>57</v>
      </c>
      <c r="G20" s="7">
        <f>IF(E20&gt;0,F20/E20,"n/a")</f>
        <v>0.648</v>
      </c>
      <c r="H20" s="6">
        <f>MAX(E20-F20,0)</f>
        <v>31</v>
      </c>
      <c r="I20" s="6">
        <f>MAX(F20-E20,0)</f>
        <v>0</v>
      </c>
      <c r="J20" s="7">
        <v>0.9790000000000001</v>
      </c>
      <c r="K20" s="5" t="s">
        <v>68</v>
      </c>
      <c r="L20" s="14" t="s">
        <v>922</v>
      </c>
      <c r="M20" s="16" t="s">
        <v>19</v>
      </c>
      <c r="N20" s="17" t="s">
        <v>19</v>
      </c>
      <c r="O20" s="16" t="s">
        <v>919</v>
      </c>
      <c r="P20" s="16" t="s">
        <v>19</v>
      </c>
    </row>
    <row r="21" spans="1:16">
      <c r="A21" s="5" t="s">
        <v>45</v>
      </c>
      <c r="B21" s="5" t="s">
        <v>15</v>
      </c>
      <c r="C21" s="5" t="s">
        <v>43</v>
      </c>
      <c r="D21" s="5" t="s">
        <v>44</v>
      </c>
      <c r="E21" s="6">
        <v>144</v>
      </c>
      <c r="F21" s="6">
        <v>114</v>
      </c>
      <c r="G21" s="7">
        <f>IF(E21&gt;0,F21/E21,"n/a")</f>
        <v>0.792</v>
      </c>
      <c r="H21" s="6">
        <f>MAX(E21-F21,0)</f>
        <v>30</v>
      </c>
      <c r="I21" s="6">
        <f>MAX(F21-E21,0)</f>
        <v>0</v>
      </c>
      <c r="J21" s="7">
        <v>0</v>
      </c>
      <c r="K21" s="5" t="s">
        <v>46</v>
      </c>
      <c r="L21" s="14" t="s">
        <v>923</v>
      </c>
      <c r="M21" s="16" t="s">
        <v>19</v>
      </c>
      <c r="N21" s="17" t="s">
        <v>19</v>
      </c>
      <c r="O21" s="16" t="s">
        <v>919</v>
      </c>
      <c r="P21" s="16" t="s">
        <v>19</v>
      </c>
    </row>
    <row r="22" spans="1:16">
      <c r="A22" s="5" t="s">
        <v>45</v>
      </c>
      <c r="B22" s="5" t="s">
        <v>83</v>
      </c>
      <c r="C22" s="5" t="s">
        <v>84</v>
      </c>
      <c r="D22" s="5" t="s">
        <v>85</v>
      </c>
      <c r="E22" s="6">
        <v>88</v>
      </c>
      <c r="F22" s="6">
        <v>64</v>
      </c>
      <c r="G22" s="7">
        <f>IF(E22&gt;0,F22/E22,"n/a")</f>
        <v>0.727</v>
      </c>
      <c r="H22" s="6">
        <f>MAX(E22-F22,0)</f>
        <v>24</v>
      </c>
      <c r="I22" s="6">
        <f>MAX(F22-E22,0)</f>
        <v>0</v>
      </c>
      <c r="J22" s="7">
        <v>1</v>
      </c>
      <c r="K22" s="5" t="s">
        <v>68</v>
      </c>
      <c r="L22" s="14" t="s">
        <v>922</v>
      </c>
      <c r="M22" s="16" t="s">
        <v>19</v>
      </c>
      <c r="N22" s="17" t="s">
        <v>19</v>
      </c>
      <c r="O22" s="16" t="s">
        <v>919</v>
      </c>
      <c r="P22" s="16" t="s">
        <v>19</v>
      </c>
    </row>
    <row r="23" spans="1:16">
      <c r="A23" s="5" t="s">
        <v>45</v>
      </c>
      <c r="B23" s="5" t="s">
        <v>83</v>
      </c>
      <c r="C23" s="5" t="s">
        <v>90</v>
      </c>
      <c r="D23" s="5" t="s">
        <v>91</v>
      </c>
      <c r="E23" s="6">
        <v>80</v>
      </c>
      <c r="F23" s="6">
        <v>57</v>
      </c>
      <c r="G23" s="7">
        <f>IF(E23&gt;0,F23/E23,"n/a")</f>
        <v>0.7120000000000001</v>
      </c>
      <c r="H23" s="6">
        <f>MAX(E23-F23,0)</f>
        <v>23</v>
      </c>
      <c r="I23" s="6">
        <f>MAX(F23-E23,0)</f>
        <v>0</v>
      </c>
      <c r="J23" s="7">
        <v>1</v>
      </c>
      <c r="K23" s="5" t="s">
        <v>68</v>
      </c>
      <c r="L23" s="14" t="s">
        <v>922</v>
      </c>
      <c r="M23" s="16" t="s">
        <v>19</v>
      </c>
      <c r="N23" s="17" t="s">
        <v>19</v>
      </c>
      <c r="O23" s="16" t="s">
        <v>919</v>
      </c>
      <c r="P23" s="16" t="s">
        <v>19</v>
      </c>
    </row>
    <row r="24" spans="1:16">
      <c r="A24" s="5" t="s">
        <v>45</v>
      </c>
      <c r="B24" s="5" t="s">
        <v>83</v>
      </c>
      <c r="C24" s="5" t="s">
        <v>103</v>
      </c>
      <c r="D24" s="5" t="s">
        <v>104</v>
      </c>
      <c r="E24" s="6">
        <v>51</v>
      </c>
      <c r="F24" s="6">
        <v>29</v>
      </c>
      <c r="G24" s="7">
        <f>IF(E24&gt;0,F24/E24,"n/a")</f>
        <v>0.569</v>
      </c>
      <c r="H24" s="6">
        <f>MAX(E24-F24,0)</f>
        <v>22</v>
      </c>
      <c r="I24" s="6">
        <f>MAX(F24-E24,0)</f>
        <v>0</v>
      </c>
      <c r="J24" s="7">
        <v>1</v>
      </c>
      <c r="K24" s="5" t="s">
        <v>68</v>
      </c>
      <c r="L24" s="14" t="s">
        <v>922</v>
      </c>
      <c r="M24" s="16" t="s">
        <v>19</v>
      </c>
      <c r="N24" s="17" t="s">
        <v>19</v>
      </c>
      <c r="O24" s="16" t="s">
        <v>919</v>
      </c>
      <c r="P24" s="16" t="s">
        <v>19</v>
      </c>
    </row>
    <row r="25" spans="1:16">
      <c r="A25" s="5" t="s">
        <v>45</v>
      </c>
      <c r="B25" s="5" t="s">
        <v>15</v>
      </c>
      <c r="C25" s="5" t="s">
        <v>55</v>
      </c>
      <c r="D25" s="5" t="s">
        <v>56</v>
      </c>
      <c r="E25" s="6">
        <v>60</v>
      </c>
      <c r="F25" s="6">
        <v>39</v>
      </c>
      <c r="G25" s="7">
        <f>IF(E25&gt;0,F25/E25,"n/a")</f>
        <v>0.65</v>
      </c>
      <c r="H25" s="6">
        <f>MAX(E25-F25,0)</f>
        <v>21</v>
      </c>
      <c r="I25" s="6">
        <f>MAX(F25-E25,0)</f>
        <v>0</v>
      </c>
      <c r="J25" s="7">
        <v>0.509</v>
      </c>
      <c r="K25" s="5" t="s">
        <v>46</v>
      </c>
      <c r="L25" s="14" t="s">
        <v>923</v>
      </c>
      <c r="M25" s="16" t="s">
        <v>19</v>
      </c>
      <c r="N25" s="17" t="s">
        <v>19</v>
      </c>
      <c r="O25" s="16" t="s">
        <v>919</v>
      </c>
      <c r="P25" s="16" t="s">
        <v>19</v>
      </c>
    </row>
    <row r="26" spans="1:16">
      <c r="A26" s="5" t="s">
        <v>45</v>
      </c>
      <c r="B26" s="5" t="s">
        <v>15</v>
      </c>
      <c r="C26" s="5" t="s">
        <v>63</v>
      </c>
      <c r="D26" s="5" t="s">
        <v>64</v>
      </c>
      <c r="E26" s="6">
        <v>52</v>
      </c>
      <c r="F26" s="6">
        <v>31</v>
      </c>
      <c r="G26" s="7">
        <f>IF(E26&gt;0,F26/E26,"n/a")</f>
        <v>0.596</v>
      </c>
      <c r="H26" s="6">
        <f>MAX(E26-F26,0)</f>
        <v>21</v>
      </c>
      <c r="I26" s="6">
        <f>MAX(F26-E26,0)</f>
        <v>0</v>
      </c>
      <c r="J26" s="7">
        <v>0.536</v>
      </c>
      <c r="K26" s="5" t="s">
        <v>46</v>
      </c>
      <c r="L26" s="14" t="s">
        <v>923</v>
      </c>
      <c r="M26" s="16" t="s">
        <v>19</v>
      </c>
      <c r="N26" s="17" t="s">
        <v>19</v>
      </c>
      <c r="O26" s="16" t="s">
        <v>919</v>
      </c>
      <c r="P26" s="16" t="s">
        <v>19</v>
      </c>
    </row>
    <row r="27" spans="1:16">
      <c r="A27" s="5" t="s">
        <v>45</v>
      </c>
      <c r="B27" s="5" t="s">
        <v>133</v>
      </c>
      <c r="C27" s="5" t="s">
        <v>142</v>
      </c>
      <c r="D27" s="5" t="s">
        <v>143</v>
      </c>
      <c r="E27" s="6">
        <v>48</v>
      </c>
      <c r="F27" s="6">
        <v>32</v>
      </c>
      <c r="G27" s="7">
        <f>IF(E27&gt;0,F27/E27,"n/a")</f>
        <v>0.667</v>
      </c>
      <c r="H27" s="6">
        <f>MAX(E27-F27,0)</f>
        <v>16</v>
      </c>
      <c r="I27" s="6">
        <f>MAX(F27-E27,0)</f>
        <v>0</v>
      </c>
      <c r="J27" s="7">
        <v>0</v>
      </c>
      <c r="K27" s="5" t="s">
        <v>46</v>
      </c>
      <c r="L27" s="14" t="s">
        <v>924</v>
      </c>
      <c r="M27" s="16" t="s">
        <v>19</v>
      </c>
      <c r="N27" s="17" t="s">
        <v>19</v>
      </c>
      <c r="O27" s="16" t="s">
        <v>919</v>
      </c>
      <c r="P27" s="16" t="s">
        <v>19</v>
      </c>
    </row>
  </sheetData>
  <autoFilter ref="A4:P27"/>
  <conditionalFormatting sqref="A5:A27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27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27">
    <cfRule type="cellIs" dxfId="7" priority="8" operator="equal">
      <formula>"Done"</formula>
    </cfRule>
  </conditionalFormatting>
  <dataValidations count="2">
    <dataValidation type="list" allowBlank="1" showInputMessage="1" showErrorMessage="1" sqref="O5:O27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27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933</v>
      </c>
    </row>
    <row r="2" spans="1:16">
      <c r="A2" s="2" t="s">
        <v>934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67</v>
      </c>
      <c r="B5" s="5" t="s">
        <v>337</v>
      </c>
      <c r="C5" s="5" t="s">
        <v>344</v>
      </c>
      <c r="D5" s="5" t="s">
        <v>345</v>
      </c>
      <c r="E5" s="6">
        <v>92</v>
      </c>
      <c r="F5" s="6">
        <v>0</v>
      </c>
      <c r="G5" s="7">
        <f>IF(E5&gt;0,F5/E5,"n/a")</f>
        <v>0.0</v>
      </c>
      <c r="H5" s="6">
        <f>MAX(E5-F5,0)</f>
        <v>92</v>
      </c>
      <c r="I5" s="6">
        <f>MAX(F5-E5,0)</f>
        <v>0</v>
      </c>
      <c r="J5" s="7">
        <v>0.966</v>
      </c>
      <c r="K5" s="5" t="s">
        <v>68</v>
      </c>
      <c r="L5" s="14" t="s">
        <v>918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67</v>
      </c>
      <c r="B6" s="5" t="s">
        <v>284</v>
      </c>
      <c r="C6" s="5" t="s">
        <v>288</v>
      </c>
      <c r="D6" s="5" t="s">
        <v>289</v>
      </c>
      <c r="E6" s="6">
        <v>5</v>
      </c>
      <c r="F6" s="6">
        <v>0</v>
      </c>
      <c r="G6" s="7">
        <f>IF(E6&gt;0,F6/E6,"n/a")</f>
        <v>0.0</v>
      </c>
      <c r="H6" s="6">
        <f>MAX(E6-F6,0)</f>
        <v>5</v>
      </c>
      <c r="I6" s="6">
        <f>MAX(F6-E6,0)</f>
        <v>0</v>
      </c>
      <c r="J6" s="7">
        <v>2</v>
      </c>
      <c r="K6" s="5" t="s">
        <v>68</v>
      </c>
      <c r="L6" s="14" t="s">
        <v>918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232</v>
      </c>
      <c r="B7" s="5" t="s">
        <v>348</v>
      </c>
      <c r="C7" s="5" t="s">
        <v>352</v>
      </c>
      <c r="D7" s="5" t="s">
        <v>353</v>
      </c>
      <c r="E7" s="6">
        <v>38</v>
      </c>
      <c r="F7" s="6">
        <v>16</v>
      </c>
      <c r="G7" s="7">
        <f>IF(E7&gt;0,F7/E7,"n/a")</f>
        <v>0.42100000000000004</v>
      </c>
      <c r="H7" s="6">
        <f>MAX(E7-F7,0)</f>
        <v>22</v>
      </c>
      <c r="I7" s="6">
        <f>MAX(F7-E7,0)</f>
        <v>0</v>
      </c>
      <c r="J7" s="7">
        <v>1</v>
      </c>
      <c r="K7" s="5" t="s">
        <v>68</v>
      </c>
      <c r="L7" s="14" t="s">
        <v>925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232</v>
      </c>
      <c r="B8" s="5" t="s">
        <v>294</v>
      </c>
      <c r="C8" s="5" t="s">
        <v>297</v>
      </c>
      <c r="D8" s="5" t="s">
        <v>298</v>
      </c>
      <c r="E8" s="6">
        <v>22</v>
      </c>
      <c r="F8" s="6">
        <v>10</v>
      </c>
      <c r="G8" s="7">
        <f>IF(E8&gt;0,F8/E8,"n/a")</f>
        <v>0.455</v>
      </c>
      <c r="H8" s="6">
        <f>MAX(E8-F8,0)</f>
        <v>12</v>
      </c>
      <c r="I8" s="6">
        <f>MAX(F8-E8,0)</f>
        <v>0</v>
      </c>
      <c r="J8" s="7">
        <v>0.333</v>
      </c>
      <c r="K8" s="5" t="s">
        <v>46</v>
      </c>
      <c r="L8" s="14" t="s">
        <v>926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26</v>
      </c>
      <c r="B9" s="5" t="s">
        <v>294</v>
      </c>
      <c r="C9" s="5" t="s">
        <v>321</v>
      </c>
      <c r="D9" s="5" t="s">
        <v>322</v>
      </c>
      <c r="E9" s="6">
        <v>118</v>
      </c>
      <c r="F9" s="6">
        <v>136</v>
      </c>
      <c r="G9" s="7">
        <f>IF(E9&gt;0,F9/E9,"n/a")</f>
        <v>1.153</v>
      </c>
      <c r="H9" s="6">
        <f>MAX(E9-F9,0)</f>
        <v>0</v>
      </c>
      <c r="I9" s="6">
        <f>MAX(F9-E9,0)</f>
        <v>18</v>
      </c>
      <c r="J9" s="7">
        <v>0.9670000000000001</v>
      </c>
      <c r="K9" s="5" t="s">
        <v>20</v>
      </c>
      <c r="L9" s="14" t="s">
        <v>921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26</v>
      </c>
      <c r="B10" s="5" t="s">
        <v>284</v>
      </c>
      <c r="C10" s="5" t="s">
        <v>290</v>
      </c>
      <c r="D10" s="5" t="s">
        <v>291</v>
      </c>
      <c r="E10" s="6">
        <v>24</v>
      </c>
      <c r="F10" s="6">
        <v>30</v>
      </c>
      <c r="G10" s="7">
        <f>IF(E10&gt;0,F10/E10,"n/a")</f>
        <v>1.25</v>
      </c>
      <c r="H10" s="6">
        <f>MAX(E10-F10,0)</f>
        <v>0</v>
      </c>
      <c r="I10" s="6">
        <f>MAX(F10-E10,0)</f>
        <v>6</v>
      </c>
      <c r="J10" s="7">
        <v>1</v>
      </c>
      <c r="K10" s="5" t="s">
        <v>20</v>
      </c>
      <c r="L10" s="14" t="s">
        <v>921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385</v>
      </c>
      <c r="B11" s="5" t="s">
        <v>370</v>
      </c>
      <c r="C11" s="5" t="s">
        <v>383</v>
      </c>
      <c r="D11" s="5" t="s">
        <v>384</v>
      </c>
      <c r="E11" s="6">
        <v>86</v>
      </c>
      <c r="F11" s="6">
        <v>88</v>
      </c>
      <c r="G11" s="7">
        <f>IF(E11&gt;0,F11/E11,"n/a")</f>
        <v>1.023</v>
      </c>
      <c r="H11" s="6">
        <f>MAX(E11-F11,0)</f>
        <v>0</v>
      </c>
      <c r="I11" s="6">
        <f>MAX(F11-E11,0)</f>
        <v>2</v>
      </c>
      <c r="J11" s="7">
        <v>1</v>
      </c>
      <c r="K11" s="5" t="s">
        <v>20</v>
      </c>
      <c r="L11" s="14" t="s">
        <v>927</v>
      </c>
      <c r="M11" s="16" t="s">
        <v>19</v>
      </c>
      <c r="N11" s="17" t="s">
        <v>19</v>
      </c>
      <c r="O11" s="16" t="s">
        <v>919</v>
      </c>
      <c r="P11" s="16" t="s">
        <v>19</v>
      </c>
    </row>
    <row r="12" spans="1:16">
      <c r="A12" s="5" t="s">
        <v>45</v>
      </c>
      <c r="B12" s="5" t="s">
        <v>294</v>
      </c>
      <c r="C12" s="5" t="s">
        <v>329</v>
      </c>
      <c r="D12" s="5" t="s">
        <v>330</v>
      </c>
      <c r="E12" s="6">
        <v>170</v>
      </c>
      <c r="F12" s="6">
        <v>132</v>
      </c>
      <c r="G12" s="7">
        <f>IF(E12&gt;0,F12/E12,"n/a")</f>
        <v>0.7759999999999999</v>
      </c>
      <c r="H12" s="6">
        <f>MAX(E12-F12,0)</f>
        <v>38</v>
      </c>
      <c r="I12" s="6">
        <f>MAX(F12-E12,0)</f>
        <v>0</v>
      </c>
      <c r="J12" s="7">
        <v>1</v>
      </c>
      <c r="K12" s="5" t="s">
        <v>68</v>
      </c>
      <c r="L12" s="14" t="s">
        <v>922</v>
      </c>
      <c r="M12" s="16" t="s">
        <v>19</v>
      </c>
      <c r="N12" s="17" t="s">
        <v>19</v>
      </c>
      <c r="O12" s="16" t="s">
        <v>919</v>
      </c>
      <c r="P12" s="16" t="s">
        <v>19</v>
      </c>
    </row>
    <row r="13" spans="1:16">
      <c r="A13" s="5" t="s">
        <v>45</v>
      </c>
      <c r="B13" s="5" t="s">
        <v>294</v>
      </c>
      <c r="C13" s="5" t="s">
        <v>295</v>
      </c>
      <c r="D13" s="5" t="s">
        <v>296</v>
      </c>
      <c r="E13" s="6">
        <v>140</v>
      </c>
      <c r="F13" s="6">
        <v>105</v>
      </c>
      <c r="G13" s="7">
        <f>IF(E13&gt;0,F13/E13,"n/a")</f>
        <v>0.75</v>
      </c>
      <c r="H13" s="6">
        <f>MAX(E13-F13,0)</f>
        <v>35</v>
      </c>
      <c r="I13" s="6">
        <f>MAX(F13-E13,0)</f>
        <v>0</v>
      </c>
      <c r="J13" s="7">
        <v>0.89</v>
      </c>
      <c r="K13" s="5" t="s">
        <v>68</v>
      </c>
      <c r="L13" s="14" t="s">
        <v>922</v>
      </c>
      <c r="M13" s="16" t="s">
        <v>19</v>
      </c>
      <c r="N13" s="17" t="s">
        <v>19</v>
      </c>
      <c r="O13" s="16" t="s">
        <v>919</v>
      </c>
      <c r="P13" s="16" t="s">
        <v>19</v>
      </c>
    </row>
    <row r="14" spans="1:16">
      <c r="A14" s="5" t="s">
        <v>45</v>
      </c>
      <c r="B14" s="5" t="s">
        <v>294</v>
      </c>
      <c r="C14" s="5" t="s">
        <v>305</v>
      </c>
      <c r="D14" s="5" t="s">
        <v>306</v>
      </c>
      <c r="E14" s="6">
        <v>72</v>
      </c>
      <c r="F14" s="6">
        <v>49</v>
      </c>
      <c r="G14" s="7">
        <f>IF(E14&gt;0,F14/E14,"n/a")</f>
        <v>0.6809999999999999</v>
      </c>
      <c r="H14" s="6">
        <f>MAX(E14-F14,0)</f>
        <v>23</v>
      </c>
      <c r="I14" s="6">
        <f>MAX(F14-E14,0)</f>
        <v>0</v>
      </c>
      <c r="J14" s="7">
        <v>0.532</v>
      </c>
      <c r="K14" s="5" t="s">
        <v>46</v>
      </c>
      <c r="L14" s="14" t="s">
        <v>923</v>
      </c>
      <c r="M14" s="16" t="s">
        <v>19</v>
      </c>
      <c r="N14" s="17" t="s">
        <v>19</v>
      </c>
      <c r="O14" s="16" t="s">
        <v>919</v>
      </c>
      <c r="P14" s="16" t="s">
        <v>19</v>
      </c>
    </row>
    <row r="15" spans="1:16">
      <c r="A15" s="5" t="s">
        <v>45</v>
      </c>
      <c r="B15" s="5" t="s">
        <v>294</v>
      </c>
      <c r="C15" s="5" t="s">
        <v>299</v>
      </c>
      <c r="D15" s="5" t="s">
        <v>300</v>
      </c>
      <c r="E15" s="6">
        <v>57</v>
      </c>
      <c r="F15" s="6">
        <v>45</v>
      </c>
      <c r="G15" s="7">
        <f>IF(E15&gt;0,F15/E15,"n/a")</f>
        <v>0.789</v>
      </c>
      <c r="H15" s="6">
        <f>MAX(E15-F15,0)</f>
        <v>12</v>
      </c>
      <c r="I15" s="6">
        <f>MAX(F15-E15,0)</f>
        <v>0</v>
      </c>
      <c r="J15" s="7">
        <v>0.455</v>
      </c>
      <c r="K15" s="5" t="s">
        <v>46</v>
      </c>
      <c r="L15" s="14" t="s">
        <v>923</v>
      </c>
      <c r="M15" s="16" t="s">
        <v>19</v>
      </c>
      <c r="N15" s="17" t="s">
        <v>19</v>
      </c>
      <c r="O15" s="16" t="s">
        <v>919</v>
      </c>
      <c r="P15" s="16" t="s">
        <v>19</v>
      </c>
    </row>
    <row r="16" spans="1:16">
      <c r="A16" s="5" t="s">
        <v>45</v>
      </c>
      <c r="B16" s="5" t="s">
        <v>294</v>
      </c>
      <c r="C16" s="5" t="s">
        <v>301</v>
      </c>
      <c r="D16" s="5" t="s">
        <v>302</v>
      </c>
      <c r="E16" s="6">
        <v>25</v>
      </c>
      <c r="F16" s="6">
        <v>17</v>
      </c>
      <c r="G16" s="7">
        <f>IF(E16&gt;0,F16/E16,"n/a")</f>
        <v>0.68</v>
      </c>
      <c r="H16" s="6">
        <f>MAX(E16-F16,0)</f>
        <v>8</v>
      </c>
      <c r="I16" s="6">
        <f>MAX(F16-E16,0)</f>
        <v>0</v>
      </c>
      <c r="J16" s="7">
        <v>0.846</v>
      </c>
      <c r="K16" s="5" t="s">
        <v>68</v>
      </c>
      <c r="L16" s="14" t="s">
        <v>922</v>
      </c>
      <c r="M16" s="16" t="s">
        <v>19</v>
      </c>
      <c r="N16" s="17" t="s">
        <v>19</v>
      </c>
      <c r="O16" s="16" t="s">
        <v>919</v>
      </c>
      <c r="P16" s="16" t="s">
        <v>19</v>
      </c>
    </row>
  </sheetData>
  <autoFilter ref="A4:P16"/>
  <conditionalFormatting sqref="A5:A16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16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16">
    <cfRule type="cellIs" dxfId="7" priority="8" operator="equal">
      <formula>"Done"</formula>
    </cfRule>
  </conditionalFormatting>
  <dataValidations count="2">
    <dataValidation type="list" allowBlank="1" showInputMessage="1" showErrorMessage="1" sqref="O5:O16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16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935</v>
      </c>
    </row>
    <row r="2" spans="1:16">
      <c r="A2" s="2" t="s">
        <v>936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67</v>
      </c>
      <c r="B5" s="5" t="s">
        <v>680</v>
      </c>
      <c r="C5" s="5" t="s">
        <v>687</v>
      </c>
      <c r="D5" s="5" t="s">
        <v>688</v>
      </c>
      <c r="E5" s="6">
        <v>3</v>
      </c>
      <c r="F5" s="6">
        <v>0</v>
      </c>
      <c r="G5" s="7">
        <f>IF(E5&gt;0,F5/E5,"n/a")</f>
        <v>0.0</v>
      </c>
      <c r="H5" s="6">
        <f>MAX(E5-F5,0)</f>
        <v>3</v>
      </c>
      <c r="I5" s="6">
        <f>MAX(F5-E5,0)</f>
        <v>0</v>
      </c>
      <c r="J5" s="7">
        <v>1</v>
      </c>
      <c r="K5" s="5" t="s">
        <v>68</v>
      </c>
      <c r="L5" s="14" t="s">
        <v>918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26</v>
      </c>
      <c r="B6" s="5" t="s">
        <v>589</v>
      </c>
      <c r="C6" s="5" t="s">
        <v>592</v>
      </c>
      <c r="D6" s="5" t="s">
        <v>593</v>
      </c>
      <c r="E6" s="6">
        <v>72</v>
      </c>
      <c r="F6" s="6">
        <v>89</v>
      </c>
      <c r="G6" s="7">
        <f>IF(E6&gt;0,F6/E6,"n/a")</f>
        <v>1.236</v>
      </c>
      <c r="H6" s="6">
        <f>MAX(E6-F6,0)</f>
        <v>0</v>
      </c>
      <c r="I6" s="6">
        <f>MAX(F6-E6,0)</f>
        <v>17</v>
      </c>
      <c r="J6" s="7">
        <v>0.9570000000000001</v>
      </c>
      <c r="K6" s="5" t="s">
        <v>20</v>
      </c>
      <c r="L6" s="14" t="s">
        <v>921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26</v>
      </c>
      <c r="B7" s="5" t="s">
        <v>649</v>
      </c>
      <c r="C7" s="5" t="s">
        <v>660</v>
      </c>
      <c r="D7" s="5" t="s">
        <v>661</v>
      </c>
      <c r="E7" s="6">
        <v>48</v>
      </c>
      <c r="F7" s="6">
        <v>63</v>
      </c>
      <c r="G7" s="7">
        <f>IF(E7&gt;0,F7/E7,"n/a")</f>
        <v>1.3119999999999998</v>
      </c>
      <c r="H7" s="6">
        <f>MAX(E7-F7,0)</f>
        <v>0</v>
      </c>
      <c r="I7" s="6">
        <f>MAX(F7-E7,0)</f>
        <v>15</v>
      </c>
      <c r="J7" s="7">
        <v>0.951</v>
      </c>
      <c r="K7" s="5" t="s">
        <v>20</v>
      </c>
      <c r="L7" s="14" t="s">
        <v>921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244</v>
      </c>
      <c r="B8" s="5" t="s">
        <v>680</v>
      </c>
      <c r="C8" s="5" t="s">
        <v>695</v>
      </c>
      <c r="D8" s="5" t="s">
        <v>696</v>
      </c>
      <c r="E8" s="6">
        <v>0</v>
      </c>
      <c r="F8" s="6">
        <v>9</v>
      </c>
      <c r="G8" s="7" t="str">
        <f>IF(E8&gt;0,F8/E8,"n/a")</f>
        <v>n/a</v>
      </c>
      <c r="H8" s="6">
        <f>MAX(E8-F8,0)</f>
        <v>0</v>
      </c>
      <c r="I8" s="6">
        <f>MAX(F8-E8,0)</f>
        <v>9</v>
      </c>
      <c r="J8" s="7" t="s">
        <v>928</v>
      </c>
      <c r="K8" s="5" t="s">
        <v>100</v>
      </c>
      <c r="L8" s="14" t="s">
        <v>929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244</v>
      </c>
      <c r="B9" s="5" t="s">
        <v>680</v>
      </c>
      <c r="C9" s="5" t="s">
        <v>697</v>
      </c>
      <c r="D9" s="5" t="s">
        <v>698</v>
      </c>
      <c r="E9" s="6">
        <v>0</v>
      </c>
      <c r="F9" s="6">
        <v>6</v>
      </c>
      <c r="G9" s="7" t="str">
        <f>IF(E9&gt;0,F9/E9,"n/a")</f>
        <v>n/a</v>
      </c>
      <c r="H9" s="6">
        <f>MAX(E9-F9,0)</f>
        <v>0</v>
      </c>
      <c r="I9" s="6">
        <f>MAX(F9-E9,0)</f>
        <v>6</v>
      </c>
      <c r="J9" s="7" t="s">
        <v>928</v>
      </c>
      <c r="K9" s="5" t="s">
        <v>100</v>
      </c>
      <c r="L9" s="14" t="s">
        <v>929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26</v>
      </c>
      <c r="B10" s="5" t="s">
        <v>589</v>
      </c>
      <c r="C10" s="5" t="s">
        <v>610</v>
      </c>
      <c r="D10" s="5" t="s">
        <v>611</v>
      </c>
      <c r="E10" s="6">
        <v>30</v>
      </c>
      <c r="F10" s="6">
        <v>33</v>
      </c>
      <c r="G10" s="7">
        <f>IF(E10&gt;0,F10/E10,"n/a")</f>
        <v>1.1</v>
      </c>
      <c r="H10" s="6">
        <f>MAX(E10-F10,0)</f>
        <v>0</v>
      </c>
      <c r="I10" s="6">
        <f>MAX(F10-E10,0)</f>
        <v>3</v>
      </c>
      <c r="J10" s="7">
        <v>1</v>
      </c>
      <c r="K10" s="5" t="s">
        <v>20</v>
      </c>
      <c r="L10" s="14" t="s">
        <v>921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26</v>
      </c>
      <c r="B11" s="5" t="s">
        <v>649</v>
      </c>
      <c r="C11" s="5" t="s">
        <v>678</v>
      </c>
      <c r="D11" s="5" t="s">
        <v>679</v>
      </c>
      <c r="E11" s="6">
        <v>13</v>
      </c>
      <c r="F11" s="6">
        <v>16</v>
      </c>
      <c r="G11" s="7">
        <f>IF(E11&gt;0,F11/E11,"n/a")</f>
        <v>1.2309999999999999</v>
      </c>
      <c r="H11" s="6">
        <f>MAX(E11-F11,0)</f>
        <v>0</v>
      </c>
      <c r="I11" s="6">
        <f>MAX(F11-E11,0)</f>
        <v>3</v>
      </c>
      <c r="J11" s="7">
        <v>0.286</v>
      </c>
      <c r="K11" s="5" t="s">
        <v>23</v>
      </c>
      <c r="L11" s="14" t="s">
        <v>921</v>
      </c>
      <c r="M11" s="16" t="s">
        <v>19</v>
      </c>
      <c r="N11" s="17" t="s">
        <v>19</v>
      </c>
      <c r="O11" s="16" t="s">
        <v>919</v>
      </c>
      <c r="P11" s="16" t="s">
        <v>19</v>
      </c>
    </row>
    <row r="12" spans="1:16">
      <c r="A12" s="5" t="s">
        <v>45</v>
      </c>
      <c r="B12" s="5" t="s">
        <v>649</v>
      </c>
      <c r="C12" s="5" t="s">
        <v>656</v>
      </c>
      <c r="D12" s="5" t="s">
        <v>657</v>
      </c>
      <c r="E12" s="6">
        <v>65</v>
      </c>
      <c r="F12" s="6">
        <v>46</v>
      </c>
      <c r="G12" s="7">
        <f>IF(E12&gt;0,F12/E12,"n/a")</f>
        <v>0.708</v>
      </c>
      <c r="H12" s="6">
        <f>MAX(E12-F12,0)</f>
        <v>19</v>
      </c>
      <c r="I12" s="6">
        <f>MAX(F12-E12,0)</f>
        <v>0</v>
      </c>
      <c r="J12" s="7">
        <v>1.026</v>
      </c>
      <c r="K12" s="5" t="s">
        <v>68</v>
      </c>
      <c r="L12" s="14" t="s">
        <v>922</v>
      </c>
      <c r="M12" s="16" t="s">
        <v>19</v>
      </c>
      <c r="N12" s="17" t="s">
        <v>19</v>
      </c>
      <c r="O12" s="16" t="s">
        <v>919</v>
      </c>
      <c r="P12" s="16" t="s">
        <v>19</v>
      </c>
    </row>
    <row r="13" spans="1:16">
      <c r="A13" s="5" t="s">
        <v>45</v>
      </c>
      <c r="B13" s="5" t="s">
        <v>649</v>
      </c>
      <c r="C13" s="5" t="s">
        <v>658</v>
      </c>
      <c r="D13" s="5" t="s">
        <v>659</v>
      </c>
      <c r="E13" s="6">
        <v>60</v>
      </c>
      <c r="F13" s="6">
        <v>47</v>
      </c>
      <c r="G13" s="7">
        <f>IF(E13&gt;0,F13/E13,"n/a")</f>
        <v>0.7829999999999999</v>
      </c>
      <c r="H13" s="6">
        <f>MAX(E13-F13,0)</f>
        <v>13</v>
      </c>
      <c r="I13" s="6">
        <f>MAX(F13-E13,0)</f>
        <v>0</v>
      </c>
      <c r="J13" s="7">
        <v>1</v>
      </c>
      <c r="K13" s="5" t="s">
        <v>68</v>
      </c>
      <c r="L13" s="14" t="s">
        <v>922</v>
      </c>
      <c r="M13" s="16" t="s">
        <v>19</v>
      </c>
      <c r="N13" s="17" t="s">
        <v>19</v>
      </c>
      <c r="O13" s="16" t="s">
        <v>919</v>
      </c>
      <c r="P13" s="16" t="s">
        <v>19</v>
      </c>
    </row>
  </sheetData>
  <autoFilter ref="A4:P13"/>
  <conditionalFormatting sqref="A5:A13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13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13">
    <cfRule type="cellIs" dxfId="7" priority="8" operator="equal">
      <formula>"Done"</formula>
    </cfRule>
  </conditionalFormatting>
  <dataValidations count="2">
    <dataValidation type="list" allowBlank="1" showInputMessage="1" showErrorMessage="1" sqref="O5:O13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13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937</v>
      </c>
    </row>
    <row r="2" spans="1:16">
      <c r="A2" s="2" t="s">
        <v>938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26</v>
      </c>
      <c r="B5" s="5" t="s">
        <v>145</v>
      </c>
      <c r="C5" s="5" t="s">
        <v>146</v>
      </c>
      <c r="D5" s="5" t="s">
        <v>147</v>
      </c>
      <c r="E5" s="6">
        <v>55</v>
      </c>
      <c r="F5" s="6">
        <v>99</v>
      </c>
      <c r="G5" s="7">
        <f>IF(E5&gt;0,F5/E5,"n/a")</f>
        <v>1.8</v>
      </c>
      <c r="H5" s="6">
        <f>MAX(E5-F5,0)</f>
        <v>0</v>
      </c>
      <c r="I5" s="6">
        <f>MAX(F5-E5,0)</f>
        <v>44</v>
      </c>
      <c r="J5" s="7">
        <v>1</v>
      </c>
      <c r="K5" s="5" t="s">
        <v>20</v>
      </c>
      <c r="L5" s="14" t="s">
        <v>921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26</v>
      </c>
      <c r="B6" s="5" t="s">
        <v>206</v>
      </c>
      <c r="C6" s="5" t="s">
        <v>209</v>
      </c>
      <c r="D6" s="5" t="s">
        <v>210</v>
      </c>
      <c r="E6" s="6">
        <v>120</v>
      </c>
      <c r="F6" s="6">
        <v>146</v>
      </c>
      <c r="G6" s="7">
        <f>IF(E6&gt;0,F6/E6,"n/a")</f>
        <v>1.217</v>
      </c>
      <c r="H6" s="6">
        <f>MAX(E6-F6,0)</f>
        <v>0</v>
      </c>
      <c r="I6" s="6">
        <f>MAX(F6-E6,0)</f>
        <v>26</v>
      </c>
      <c r="J6" s="7">
        <v>1</v>
      </c>
      <c r="K6" s="5" t="s">
        <v>20</v>
      </c>
      <c r="L6" s="14" t="s">
        <v>921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26</v>
      </c>
      <c r="B7" s="5" t="s">
        <v>145</v>
      </c>
      <c r="C7" s="5" t="s">
        <v>156</v>
      </c>
      <c r="D7" s="5" t="s">
        <v>157</v>
      </c>
      <c r="E7" s="6">
        <v>168</v>
      </c>
      <c r="F7" s="6">
        <v>185</v>
      </c>
      <c r="G7" s="7">
        <f>IF(E7&gt;0,F7/E7,"n/a")</f>
        <v>1.101</v>
      </c>
      <c r="H7" s="6">
        <f>MAX(E7-F7,0)</f>
        <v>0</v>
      </c>
      <c r="I7" s="6">
        <f>MAX(F7-E7,0)</f>
        <v>17</v>
      </c>
      <c r="J7" s="7">
        <v>1</v>
      </c>
      <c r="K7" s="5" t="s">
        <v>20</v>
      </c>
      <c r="L7" s="14" t="s">
        <v>921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26</v>
      </c>
      <c r="B8" s="5" t="s">
        <v>145</v>
      </c>
      <c r="C8" s="5" t="s">
        <v>148</v>
      </c>
      <c r="D8" s="5" t="s">
        <v>149</v>
      </c>
      <c r="E8" s="6">
        <v>44</v>
      </c>
      <c r="F8" s="6">
        <v>57</v>
      </c>
      <c r="G8" s="7">
        <f>IF(E8&gt;0,F8/E8,"n/a")</f>
        <v>1.295</v>
      </c>
      <c r="H8" s="6">
        <f>MAX(E8-F8,0)</f>
        <v>0</v>
      </c>
      <c r="I8" s="6">
        <f>MAX(F8-E8,0)</f>
        <v>13</v>
      </c>
      <c r="J8" s="7">
        <v>1</v>
      </c>
      <c r="K8" s="5" t="s">
        <v>20</v>
      </c>
      <c r="L8" s="14" t="s">
        <v>921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26</v>
      </c>
      <c r="B9" s="5" t="s">
        <v>145</v>
      </c>
      <c r="C9" s="5" t="s">
        <v>158</v>
      </c>
      <c r="D9" s="5" t="s">
        <v>159</v>
      </c>
      <c r="E9" s="6">
        <v>17</v>
      </c>
      <c r="F9" s="6">
        <v>21</v>
      </c>
      <c r="G9" s="7">
        <f>IF(E9&gt;0,F9/E9,"n/a")</f>
        <v>1.235</v>
      </c>
      <c r="H9" s="6">
        <f>MAX(E9-F9,0)</f>
        <v>0</v>
      </c>
      <c r="I9" s="6">
        <f>MAX(F9-E9,0)</f>
        <v>4</v>
      </c>
      <c r="J9" s="7">
        <v>1</v>
      </c>
      <c r="K9" s="5" t="s">
        <v>20</v>
      </c>
      <c r="L9" s="14" t="s">
        <v>921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45</v>
      </c>
      <c r="B10" s="5" t="s">
        <v>183</v>
      </c>
      <c r="C10" s="5" t="s">
        <v>186</v>
      </c>
      <c r="D10" s="5" t="s">
        <v>187</v>
      </c>
      <c r="E10" s="6">
        <v>85</v>
      </c>
      <c r="F10" s="6">
        <v>47</v>
      </c>
      <c r="G10" s="7">
        <f>IF(E10&gt;0,F10/E10,"n/a")</f>
        <v>0.5529999999999999</v>
      </c>
      <c r="H10" s="6">
        <f>MAX(E10-F10,0)</f>
        <v>38</v>
      </c>
      <c r="I10" s="6">
        <f>MAX(F10-E10,0)</f>
        <v>0</v>
      </c>
      <c r="J10" s="7">
        <v>1</v>
      </c>
      <c r="K10" s="5" t="s">
        <v>68</v>
      </c>
      <c r="L10" s="14" t="s">
        <v>922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45</v>
      </c>
      <c r="B11" s="5" t="s">
        <v>183</v>
      </c>
      <c r="C11" s="5" t="s">
        <v>192</v>
      </c>
      <c r="D11" s="5" t="s">
        <v>193</v>
      </c>
      <c r="E11" s="6">
        <v>138</v>
      </c>
      <c r="F11" s="6">
        <v>110</v>
      </c>
      <c r="G11" s="7">
        <f>IF(E11&gt;0,F11/E11,"n/a")</f>
        <v>0.797</v>
      </c>
      <c r="H11" s="6">
        <f>MAX(E11-F11,0)</f>
        <v>28</v>
      </c>
      <c r="I11" s="6">
        <f>MAX(F11-E11,0)</f>
        <v>0</v>
      </c>
      <c r="J11" s="7">
        <v>1</v>
      </c>
      <c r="K11" s="5" t="s">
        <v>68</v>
      </c>
      <c r="L11" s="14" t="s">
        <v>922</v>
      </c>
      <c r="M11" s="16" t="s">
        <v>19</v>
      </c>
      <c r="N11" s="17" t="s">
        <v>19</v>
      </c>
      <c r="O11" s="16" t="s">
        <v>919</v>
      </c>
      <c r="P11" s="16" t="s">
        <v>19</v>
      </c>
    </row>
    <row r="12" spans="1:16">
      <c r="A12" s="5" t="s">
        <v>45</v>
      </c>
      <c r="B12" s="5" t="s">
        <v>160</v>
      </c>
      <c r="C12" s="5" t="s">
        <v>165</v>
      </c>
      <c r="D12" s="5" t="s">
        <v>166</v>
      </c>
      <c r="E12" s="6">
        <v>110</v>
      </c>
      <c r="F12" s="6">
        <v>84</v>
      </c>
      <c r="G12" s="7">
        <f>IF(E12&gt;0,F12/E12,"n/a")</f>
        <v>0.764</v>
      </c>
      <c r="H12" s="6">
        <f>MAX(E12-F12,0)</f>
        <v>26</v>
      </c>
      <c r="I12" s="6">
        <f>MAX(F12-E12,0)</f>
        <v>0</v>
      </c>
      <c r="J12" s="7">
        <v>1</v>
      </c>
      <c r="K12" s="5" t="s">
        <v>68</v>
      </c>
      <c r="L12" s="14" t="s">
        <v>922</v>
      </c>
      <c r="M12" s="16" t="s">
        <v>19</v>
      </c>
      <c r="N12" s="17" t="s">
        <v>19</v>
      </c>
      <c r="O12" s="16" t="s">
        <v>919</v>
      </c>
      <c r="P12" s="16" t="s">
        <v>19</v>
      </c>
    </row>
    <row r="13" spans="1:16">
      <c r="A13" s="5" t="s">
        <v>45</v>
      </c>
      <c r="B13" s="5" t="s">
        <v>183</v>
      </c>
      <c r="C13" s="5" t="s">
        <v>188</v>
      </c>
      <c r="D13" s="5" t="s">
        <v>189</v>
      </c>
      <c r="E13" s="6">
        <v>110</v>
      </c>
      <c r="F13" s="6">
        <v>86</v>
      </c>
      <c r="G13" s="7">
        <f>IF(E13&gt;0,F13/E13,"n/a")</f>
        <v>0.782</v>
      </c>
      <c r="H13" s="6">
        <f>MAX(E13-F13,0)</f>
        <v>24</v>
      </c>
      <c r="I13" s="6">
        <f>MAX(F13-E13,0)</f>
        <v>0</v>
      </c>
      <c r="J13" s="7">
        <v>1</v>
      </c>
      <c r="K13" s="5" t="s">
        <v>68</v>
      </c>
      <c r="L13" s="14" t="s">
        <v>922</v>
      </c>
      <c r="M13" s="16" t="s">
        <v>19</v>
      </c>
      <c r="N13" s="17" t="s">
        <v>19</v>
      </c>
      <c r="O13" s="16" t="s">
        <v>919</v>
      </c>
      <c r="P13" s="16" t="s">
        <v>19</v>
      </c>
    </row>
    <row r="14" spans="1:16">
      <c r="A14" s="5" t="s">
        <v>45</v>
      </c>
      <c r="B14" s="5" t="s">
        <v>206</v>
      </c>
      <c r="C14" s="5" t="s">
        <v>213</v>
      </c>
      <c r="D14" s="5" t="s">
        <v>214</v>
      </c>
      <c r="E14" s="6">
        <v>55</v>
      </c>
      <c r="F14" s="6">
        <v>32</v>
      </c>
      <c r="G14" s="7">
        <f>IF(E14&gt;0,F14/E14,"n/a")</f>
        <v>0.5820000000000001</v>
      </c>
      <c r="H14" s="6">
        <f>MAX(E14-F14,0)</f>
        <v>23</v>
      </c>
      <c r="I14" s="6">
        <f>MAX(F14-E14,0)</f>
        <v>0</v>
      </c>
      <c r="J14" s="7">
        <v>1</v>
      </c>
      <c r="K14" s="5" t="s">
        <v>68</v>
      </c>
      <c r="L14" s="14" t="s">
        <v>922</v>
      </c>
      <c r="M14" s="16" t="s">
        <v>19</v>
      </c>
      <c r="N14" s="17" t="s">
        <v>19</v>
      </c>
      <c r="O14" s="16" t="s">
        <v>919</v>
      </c>
      <c r="P14" s="16" t="s">
        <v>19</v>
      </c>
    </row>
  </sheetData>
  <autoFilter ref="A4:P14"/>
  <conditionalFormatting sqref="A5:A14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14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14">
    <cfRule type="cellIs" dxfId="7" priority="8" operator="equal">
      <formula>"Done"</formula>
    </cfRule>
  </conditionalFormatting>
  <dataValidations count="2">
    <dataValidation type="list" allowBlank="1" showInputMessage="1" showErrorMessage="1" sqref="O5:O14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14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939</v>
      </c>
    </row>
    <row r="2" spans="1:16">
      <c r="A2" s="2" t="s">
        <v>940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67</v>
      </c>
      <c r="B5" s="5" t="s">
        <v>699</v>
      </c>
      <c r="C5" s="5" t="s">
        <v>760</v>
      </c>
      <c r="D5" s="5" t="s">
        <v>761</v>
      </c>
      <c r="E5" s="6">
        <v>353</v>
      </c>
      <c r="F5" s="6">
        <v>0</v>
      </c>
      <c r="G5" s="7">
        <f>IF(E5&gt;0,F5/E5,"n/a")</f>
        <v>0.0</v>
      </c>
      <c r="H5" s="6">
        <f>MAX(E5-F5,0)</f>
        <v>353</v>
      </c>
      <c r="I5" s="6">
        <f>MAX(F5-E5,0)</f>
        <v>0</v>
      </c>
      <c r="J5" s="7">
        <v>0.08599999999999999</v>
      </c>
      <c r="K5" s="5" t="s">
        <v>46</v>
      </c>
      <c r="L5" s="14" t="s">
        <v>920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67</v>
      </c>
      <c r="B6" s="5" t="s">
        <v>871</v>
      </c>
      <c r="C6" s="5" t="s">
        <v>890</v>
      </c>
      <c r="D6" s="5" t="s">
        <v>891</v>
      </c>
      <c r="E6" s="6">
        <v>144</v>
      </c>
      <c r="F6" s="6">
        <v>0</v>
      </c>
      <c r="G6" s="7">
        <f>IF(E6&gt;0,F6/E6,"n/a")</f>
        <v>0.0</v>
      </c>
      <c r="H6" s="6">
        <f>MAX(E6-F6,0)</f>
        <v>144</v>
      </c>
      <c r="I6" s="6">
        <f>MAX(F6-E6,0)</f>
        <v>0</v>
      </c>
      <c r="J6" s="7">
        <v>0.388</v>
      </c>
      <c r="K6" s="5" t="s">
        <v>46</v>
      </c>
      <c r="L6" s="14" t="s">
        <v>920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67</v>
      </c>
      <c r="B7" s="5" t="s">
        <v>699</v>
      </c>
      <c r="C7" s="5" t="s">
        <v>762</v>
      </c>
      <c r="D7" s="5" t="s">
        <v>763</v>
      </c>
      <c r="E7" s="6">
        <v>109</v>
      </c>
      <c r="F7" s="6">
        <v>0</v>
      </c>
      <c r="G7" s="7">
        <f>IF(E7&gt;0,F7/E7,"n/a")</f>
        <v>0.0</v>
      </c>
      <c r="H7" s="6">
        <f>MAX(E7-F7,0)</f>
        <v>109</v>
      </c>
      <c r="I7" s="6">
        <f>MAX(F7-E7,0)</f>
        <v>0</v>
      </c>
      <c r="J7" s="7">
        <v>0.4</v>
      </c>
      <c r="K7" s="5" t="s">
        <v>46</v>
      </c>
      <c r="L7" s="14" t="s">
        <v>920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67</v>
      </c>
      <c r="B8" s="5" t="s">
        <v>766</v>
      </c>
      <c r="C8" s="5" t="s">
        <v>771</v>
      </c>
      <c r="D8" s="5" t="s">
        <v>772</v>
      </c>
      <c r="E8" s="6">
        <v>18</v>
      </c>
      <c r="F8" s="6">
        <v>0</v>
      </c>
      <c r="G8" s="7">
        <f>IF(E8&gt;0,F8/E8,"n/a")</f>
        <v>0.0</v>
      </c>
      <c r="H8" s="6">
        <f>MAX(E8-F8,0)</f>
        <v>18</v>
      </c>
      <c r="I8" s="6">
        <f>MAX(F8-E8,0)</f>
        <v>0</v>
      </c>
      <c r="J8" s="7">
        <v>1</v>
      </c>
      <c r="K8" s="5" t="s">
        <v>68</v>
      </c>
      <c r="L8" s="14" t="s">
        <v>918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67</v>
      </c>
      <c r="B9" s="5" t="s">
        <v>699</v>
      </c>
      <c r="C9" s="5" t="s">
        <v>710</v>
      </c>
      <c r="D9" s="5" t="s">
        <v>711</v>
      </c>
      <c r="E9" s="6">
        <v>4</v>
      </c>
      <c r="F9" s="6">
        <v>0</v>
      </c>
      <c r="G9" s="7">
        <f>IF(E9&gt;0,F9/E9,"n/a")</f>
        <v>0.0</v>
      </c>
      <c r="H9" s="6">
        <f>MAX(E9-F9,0)</f>
        <v>4</v>
      </c>
      <c r="I9" s="6">
        <f>MAX(F9-E9,0)</f>
        <v>0</v>
      </c>
      <c r="J9" s="7">
        <v>1</v>
      </c>
      <c r="K9" s="5" t="s">
        <v>68</v>
      </c>
      <c r="L9" s="14" t="s">
        <v>918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26</v>
      </c>
      <c r="B10" s="5" t="s">
        <v>796</v>
      </c>
      <c r="C10" s="5" t="s">
        <v>818</v>
      </c>
      <c r="D10" s="5" t="s">
        <v>819</v>
      </c>
      <c r="E10" s="6">
        <v>102</v>
      </c>
      <c r="F10" s="6">
        <v>253</v>
      </c>
      <c r="G10" s="7">
        <f>IF(E10&gt;0,F10/E10,"n/a")</f>
        <v>2.48</v>
      </c>
      <c r="H10" s="6">
        <f>MAX(E10-F10,0)</f>
        <v>0</v>
      </c>
      <c r="I10" s="6">
        <f>MAX(F10-E10,0)</f>
        <v>151</v>
      </c>
      <c r="J10" s="7">
        <v>0.4320000000000001</v>
      </c>
      <c r="K10" s="5" t="s">
        <v>23</v>
      </c>
      <c r="L10" s="14" t="s">
        <v>921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26</v>
      </c>
      <c r="B11" s="5" t="s">
        <v>871</v>
      </c>
      <c r="C11" s="5" t="s">
        <v>894</v>
      </c>
      <c r="D11" s="5" t="s">
        <v>895</v>
      </c>
      <c r="E11" s="6">
        <v>143</v>
      </c>
      <c r="F11" s="6">
        <v>278</v>
      </c>
      <c r="G11" s="7">
        <f>IF(E11&gt;0,F11/E11,"n/a")</f>
        <v>1.944</v>
      </c>
      <c r="H11" s="6">
        <f>MAX(E11-F11,0)</f>
        <v>0</v>
      </c>
      <c r="I11" s="6">
        <f>MAX(F11-E11,0)</f>
        <v>135</v>
      </c>
      <c r="J11" s="7">
        <v>0.6850000000000001</v>
      </c>
      <c r="K11" s="5" t="s">
        <v>23</v>
      </c>
      <c r="L11" s="14" t="s">
        <v>921</v>
      </c>
      <c r="M11" s="16" t="s">
        <v>19</v>
      </c>
      <c r="N11" s="17" t="s">
        <v>19</v>
      </c>
      <c r="O11" s="16" t="s">
        <v>919</v>
      </c>
      <c r="P11" s="16" t="s">
        <v>19</v>
      </c>
    </row>
    <row r="12" spans="1:16">
      <c r="A12" s="5" t="s">
        <v>26</v>
      </c>
      <c r="B12" s="5" t="s">
        <v>699</v>
      </c>
      <c r="C12" s="5" t="s">
        <v>758</v>
      </c>
      <c r="D12" s="5" t="s">
        <v>759</v>
      </c>
      <c r="E12" s="6">
        <v>217</v>
      </c>
      <c r="F12" s="6">
        <v>240</v>
      </c>
      <c r="G12" s="7">
        <f>IF(E12&gt;0,F12/E12,"n/a")</f>
        <v>1.1059999999999999</v>
      </c>
      <c r="H12" s="6">
        <f>MAX(E12-F12,0)</f>
        <v>0</v>
      </c>
      <c r="I12" s="6">
        <f>MAX(F12-E12,0)</f>
        <v>23</v>
      </c>
      <c r="J12" s="7">
        <v>0.364</v>
      </c>
      <c r="K12" s="5" t="s">
        <v>23</v>
      </c>
      <c r="L12" s="14" t="s">
        <v>921</v>
      </c>
      <c r="M12" s="16" t="s">
        <v>19</v>
      </c>
      <c r="N12" s="17" t="s">
        <v>19</v>
      </c>
      <c r="O12" s="16" t="s">
        <v>919</v>
      </c>
      <c r="P12" s="16" t="s">
        <v>19</v>
      </c>
    </row>
    <row r="13" spans="1:16">
      <c r="A13" s="5" t="s">
        <v>26</v>
      </c>
      <c r="B13" s="5" t="s">
        <v>699</v>
      </c>
      <c r="C13" s="5" t="s">
        <v>752</v>
      </c>
      <c r="D13" s="5" t="s">
        <v>753</v>
      </c>
      <c r="E13" s="6">
        <v>30</v>
      </c>
      <c r="F13" s="6">
        <v>33</v>
      </c>
      <c r="G13" s="7">
        <f>IF(E13&gt;0,F13/E13,"n/a")</f>
        <v>1.1</v>
      </c>
      <c r="H13" s="6">
        <f>MAX(E13-F13,0)</f>
        <v>0</v>
      </c>
      <c r="I13" s="6">
        <f>MAX(F13-E13,0)</f>
        <v>3</v>
      </c>
      <c r="J13" s="7">
        <v>0.955</v>
      </c>
      <c r="K13" s="5" t="s">
        <v>20</v>
      </c>
      <c r="L13" s="14" t="s">
        <v>921</v>
      </c>
      <c r="M13" s="16" t="s">
        <v>19</v>
      </c>
      <c r="N13" s="17" t="s">
        <v>19</v>
      </c>
      <c r="O13" s="16" t="s">
        <v>919</v>
      </c>
      <c r="P13" s="16" t="s">
        <v>19</v>
      </c>
    </row>
    <row r="14" spans="1:16">
      <c r="A14" s="5" t="s">
        <v>45</v>
      </c>
      <c r="B14" s="5" t="s">
        <v>778</v>
      </c>
      <c r="C14" s="5" t="s">
        <v>790</v>
      </c>
      <c r="D14" s="5" t="s">
        <v>791</v>
      </c>
      <c r="E14" s="6">
        <v>277</v>
      </c>
      <c r="F14" s="6">
        <v>146</v>
      </c>
      <c r="G14" s="7">
        <f>IF(E14&gt;0,F14/E14,"n/a")</f>
        <v>0.527</v>
      </c>
      <c r="H14" s="6">
        <f>MAX(E14-F14,0)</f>
        <v>131</v>
      </c>
      <c r="I14" s="6">
        <f>MAX(F14-E14,0)</f>
        <v>0</v>
      </c>
      <c r="J14" s="7">
        <v>0.32</v>
      </c>
      <c r="K14" s="5" t="s">
        <v>46</v>
      </c>
      <c r="L14" s="14" t="s">
        <v>923</v>
      </c>
      <c r="M14" s="16" t="s">
        <v>19</v>
      </c>
      <c r="N14" s="17" t="s">
        <v>19</v>
      </c>
      <c r="O14" s="16" t="s">
        <v>919</v>
      </c>
      <c r="P14" s="16" t="s">
        <v>19</v>
      </c>
    </row>
    <row r="15" spans="1:16">
      <c r="A15" s="5" t="s">
        <v>45</v>
      </c>
      <c r="B15" s="5" t="s">
        <v>778</v>
      </c>
      <c r="C15" s="5" t="s">
        <v>788</v>
      </c>
      <c r="D15" s="5" t="s">
        <v>789</v>
      </c>
      <c r="E15" s="6">
        <v>298</v>
      </c>
      <c r="F15" s="6">
        <v>189</v>
      </c>
      <c r="G15" s="7">
        <f>IF(E15&gt;0,F15/E15,"n/a")</f>
        <v>0.634</v>
      </c>
      <c r="H15" s="6">
        <f>MAX(E15-F15,0)</f>
        <v>109</v>
      </c>
      <c r="I15" s="6">
        <f>MAX(F15-E15,0)</f>
        <v>0</v>
      </c>
      <c r="J15" s="7">
        <v>0.45</v>
      </c>
      <c r="K15" s="5" t="s">
        <v>46</v>
      </c>
      <c r="L15" s="14" t="s">
        <v>923</v>
      </c>
      <c r="M15" s="16" t="s">
        <v>19</v>
      </c>
      <c r="N15" s="17" t="s">
        <v>19</v>
      </c>
      <c r="O15" s="16" t="s">
        <v>919</v>
      </c>
      <c r="P15" s="16" t="s">
        <v>19</v>
      </c>
    </row>
    <row r="16" spans="1:16">
      <c r="A16" s="5" t="s">
        <v>45</v>
      </c>
      <c r="B16" s="5" t="s">
        <v>778</v>
      </c>
      <c r="C16" s="5" t="s">
        <v>792</v>
      </c>
      <c r="D16" s="5" t="s">
        <v>793</v>
      </c>
      <c r="E16" s="6">
        <v>215</v>
      </c>
      <c r="F16" s="6">
        <v>151</v>
      </c>
      <c r="G16" s="7">
        <f>IF(E16&gt;0,F16/E16,"n/a")</f>
        <v>0.7020000000000001</v>
      </c>
      <c r="H16" s="6">
        <f>MAX(E16-F16,0)</f>
        <v>64</v>
      </c>
      <c r="I16" s="6">
        <f>MAX(F16-E16,0)</f>
        <v>0</v>
      </c>
      <c r="J16" s="7">
        <v>0.227</v>
      </c>
      <c r="K16" s="5" t="s">
        <v>46</v>
      </c>
      <c r="L16" s="14" t="s">
        <v>923</v>
      </c>
      <c r="M16" s="16" t="s">
        <v>19</v>
      </c>
      <c r="N16" s="17" t="s">
        <v>19</v>
      </c>
      <c r="O16" s="16" t="s">
        <v>919</v>
      </c>
      <c r="P16" s="16" t="s">
        <v>19</v>
      </c>
    </row>
    <row r="17" spans="1:16">
      <c r="A17" s="5" t="s">
        <v>45</v>
      </c>
      <c r="B17" s="5" t="s">
        <v>796</v>
      </c>
      <c r="C17" s="5" t="s">
        <v>816</v>
      </c>
      <c r="D17" s="5" t="s">
        <v>817</v>
      </c>
      <c r="E17" s="6">
        <v>140</v>
      </c>
      <c r="F17" s="6">
        <v>100</v>
      </c>
      <c r="G17" s="7">
        <f>IF(E17&gt;0,F17/E17,"n/a")</f>
        <v>0.7140000000000001</v>
      </c>
      <c r="H17" s="6">
        <f>MAX(E17-F17,0)</f>
        <v>40</v>
      </c>
      <c r="I17" s="6">
        <f>MAX(F17-E17,0)</f>
        <v>0</v>
      </c>
      <c r="J17" s="7">
        <v>0.327</v>
      </c>
      <c r="K17" s="5" t="s">
        <v>46</v>
      </c>
      <c r="L17" s="14" t="s">
        <v>923</v>
      </c>
      <c r="M17" s="16" t="s">
        <v>19</v>
      </c>
      <c r="N17" s="17" t="s">
        <v>19</v>
      </c>
      <c r="O17" s="16" t="s">
        <v>919</v>
      </c>
      <c r="P17" s="16" t="s">
        <v>19</v>
      </c>
    </row>
    <row r="18" spans="1:16">
      <c r="A18" s="5" t="s">
        <v>45</v>
      </c>
      <c r="B18" s="5" t="s">
        <v>826</v>
      </c>
      <c r="C18" s="5" t="s">
        <v>839</v>
      </c>
      <c r="D18" s="5" t="s">
        <v>840</v>
      </c>
      <c r="E18" s="6">
        <v>70</v>
      </c>
      <c r="F18" s="6">
        <v>51</v>
      </c>
      <c r="G18" s="7">
        <f>IF(E18&gt;0,F18/E18,"n/a")</f>
        <v>0.7290000000000001</v>
      </c>
      <c r="H18" s="6">
        <f>MAX(E18-F18,0)</f>
        <v>19</v>
      </c>
      <c r="I18" s="6">
        <f>MAX(F18-E18,0)</f>
        <v>0</v>
      </c>
      <c r="J18" s="7">
        <v>0.325</v>
      </c>
      <c r="K18" s="5" t="s">
        <v>46</v>
      </c>
      <c r="L18" s="14" t="s">
        <v>923</v>
      </c>
      <c r="M18" s="16" t="s">
        <v>19</v>
      </c>
      <c r="N18" s="17" t="s">
        <v>19</v>
      </c>
      <c r="O18" s="16" t="s">
        <v>919</v>
      </c>
      <c r="P18" s="16" t="s">
        <v>19</v>
      </c>
    </row>
    <row r="19" spans="1:16">
      <c r="A19" s="5" t="s">
        <v>45</v>
      </c>
      <c r="B19" s="5" t="s">
        <v>699</v>
      </c>
      <c r="C19" s="5" t="s">
        <v>764</v>
      </c>
      <c r="D19" s="5" t="s">
        <v>765</v>
      </c>
      <c r="E19" s="6">
        <v>37</v>
      </c>
      <c r="F19" s="6">
        <v>21</v>
      </c>
      <c r="G19" s="7">
        <f>IF(E19&gt;0,F19/E19,"n/a")</f>
        <v>0.568</v>
      </c>
      <c r="H19" s="6">
        <f>MAX(E19-F19,0)</f>
        <v>16</v>
      </c>
      <c r="I19" s="6">
        <f>MAX(F19-E19,0)</f>
        <v>0</v>
      </c>
      <c r="J19" s="7">
        <v>0.516</v>
      </c>
      <c r="K19" s="5" t="s">
        <v>46</v>
      </c>
      <c r="L19" s="14" t="s">
        <v>923</v>
      </c>
      <c r="M19" s="16" t="s">
        <v>19</v>
      </c>
      <c r="N19" s="17" t="s">
        <v>19</v>
      </c>
      <c r="O19" s="16" t="s">
        <v>919</v>
      </c>
      <c r="P19" s="16" t="s">
        <v>19</v>
      </c>
    </row>
    <row r="20" spans="1:16">
      <c r="A20" s="5" t="s">
        <v>45</v>
      </c>
      <c r="B20" s="5" t="s">
        <v>699</v>
      </c>
      <c r="C20" s="5" t="s">
        <v>708</v>
      </c>
      <c r="D20" s="5" t="s">
        <v>709</v>
      </c>
      <c r="E20" s="6">
        <v>8</v>
      </c>
      <c r="F20" s="6">
        <v>5</v>
      </c>
      <c r="G20" s="7">
        <f>IF(E20&gt;0,F20/E20,"n/a")</f>
        <v>0.625</v>
      </c>
      <c r="H20" s="6">
        <f>MAX(E20-F20,0)</f>
        <v>3</v>
      </c>
      <c r="I20" s="6">
        <f>MAX(F20-E20,0)</f>
        <v>0</v>
      </c>
      <c r="J20" s="7">
        <v>1</v>
      </c>
      <c r="K20" s="5" t="s">
        <v>68</v>
      </c>
      <c r="L20" s="14" t="s">
        <v>922</v>
      </c>
      <c r="M20" s="16" t="s">
        <v>19</v>
      </c>
      <c r="N20" s="17" t="s">
        <v>19</v>
      </c>
      <c r="O20" s="16" t="s">
        <v>919</v>
      </c>
      <c r="P20" s="16" t="s">
        <v>19</v>
      </c>
    </row>
  </sheetData>
  <autoFilter ref="A4:P20"/>
  <conditionalFormatting sqref="A5:A20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20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20">
    <cfRule type="cellIs" dxfId="7" priority="8" operator="equal">
      <formula>"Done"</formula>
    </cfRule>
  </conditionalFormatting>
  <dataValidations count="2">
    <dataValidation type="list" allowBlank="1" showInputMessage="1" showErrorMessage="1" sqref="O5:O20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20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941</v>
      </c>
    </row>
    <row r="2" spans="1:16">
      <c r="A2" s="2" t="s">
        <v>942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67</v>
      </c>
      <c r="B5" s="5" t="s">
        <v>394</v>
      </c>
      <c r="C5" s="5" t="s">
        <v>410</v>
      </c>
      <c r="D5" s="5" t="s">
        <v>411</v>
      </c>
      <c r="E5" s="6">
        <v>81</v>
      </c>
      <c r="F5" s="6">
        <v>0</v>
      </c>
      <c r="G5" s="7">
        <f>IF(E5&gt;0,F5/E5,"n/a")</f>
        <v>0.0</v>
      </c>
      <c r="H5" s="6">
        <f>MAX(E5-F5,0)</f>
        <v>81</v>
      </c>
      <c r="I5" s="6">
        <f>MAX(F5-E5,0)</f>
        <v>0</v>
      </c>
      <c r="J5" s="7">
        <v>1.118</v>
      </c>
      <c r="K5" s="5" t="s">
        <v>68</v>
      </c>
      <c r="L5" s="14" t="s">
        <v>918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67</v>
      </c>
      <c r="B6" s="5" t="s">
        <v>395</v>
      </c>
      <c r="C6" s="5" t="s">
        <v>402</v>
      </c>
      <c r="D6" s="5" t="s">
        <v>403</v>
      </c>
      <c r="E6" s="6">
        <v>7</v>
      </c>
      <c r="F6" s="6">
        <v>0</v>
      </c>
      <c r="G6" s="7">
        <f>IF(E6&gt;0,F6/E6,"n/a")</f>
        <v>0.0</v>
      </c>
      <c r="H6" s="6">
        <f>MAX(E6-F6,0)</f>
        <v>7</v>
      </c>
      <c r="I6" s="6">
        <f>MAX(F6-E6,0)</f>
        <v>0</v>
      </c>
      <c r="J6" s="7">
        <v>1</v>
      </c>
      <c r="K6" s="5" t="s">
        <v>68</v>
      </c>
      <c r="L6" s="14" t="s">
        <v>918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67</v>
      </c>
      <c r="B7" s="5" t="s">
        <v>395</v>
      </c>
      <c r="C7" s="5" t="s">
        <v>406</v>
      </c>
      <c r="D7" s="5" t="s">
        <v>407</v>
      </c>
      <c r="E7" s="6">
        <v>4</v>
      </c>
      <c r="F7" s="6">
        <v>0</v>
      </c>
      <c r="G7" s="7">
        <f>IF(E7&gt;0,F7/E7,"n/a")</f>
        <v>0.0</v>
      </c>
      <c r="H7" s="6">
        <f>MAX(E7-F7,0)</f>
        <v>4</v>
      </c>
      <c r="I7" s="6">
        <f>MAX(F7-E7,0)</f>
        <v>0</v>
      </c>
      <c r="J7" s="7">
        <v>1</v>
      </c>
      <c r="K7" s="5" t="s">
        <v>68</v>
      </c>
      <c r="L7" s="14" t="s">
        <v>918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232</v>
      </c>
      <c r="B8" s="5" t="s">
        <v>394</v>
      </c>
      <c r="C8" s="5" t="s">
        <v>408</v>
      </c>
      <c r="D8" s="5" t="s">
        <v>409</v>
      </c>
      <c r="E8" s="6">
        <v>62</v>
      </c>
      <c r="F8" s="6">
        <v>15</v>
      </c>
      <c r="G8" s="7">
        <f>IF(E8&gt;0,F8/E8,"n/a")</f>
        <v>0.242</v>
      </c>
      <c r="H8" s="6">
        <f>MAX(E8-F8,0)</f>
        <v>47</v>
      </c>
      <c r="I8" s="6">
        <f>MAX(F8-E8,0)</f>
        <v>0</v>
      </c>
      <c r="J8" s="7">
        <v>0.97</v>
      </c>
      <c r="K8" s="5" t="s">
        <v>68</v>
      </c>
      <c r="L8" s="14" t="s">
        <v>925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26</v>
      </c>
      <c r="B9" s="5" t="s">
        <v>394</v>
      </c>
      <c r="C9" s="5" t="s">
        <v>426</v>
      </c>
      <c r="D9" s="5" t="s">
        <v>427</v>
      </c>
      <c r="E9" s="6">
        <v>18</v>
      </c>
      <c r="F9" s="6">
        <v>88</v>
      </c>
      <c r="G9" s="7">
        <f>IF(E9&gt;0,F9/E9,"n/a")</f>
        <v>4.888999999999999</v>
      </c>
      <c r="H9" s="6">
        <f>MAX(E9-F9,0)</f>
        <v>0</v>
      </c>
      <c r="I9" s="6">
        <f>MAX(F9-E9,0)</f>
        <v>70</v>
      </c>
      <c r="J9" s="7">
        <v>0.583</v>
      </c>
      <c r="K9" s="5" t="s">
        <v>23</v>
      </c>
      <c r="L9" s="14" t="s">
        <v>921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45</v>
      </c>
      <c r="B10" s="5" t="s">
        <v>394</v>
      </c>
      <c r="C10" s="5" t="s">
        <v>438</v>
      </c>
      <c r="D10" s="5" t="s">
        <v>439</v>
      </c>
      <c r="E10" s="6">
        <v>18</v>
      </c>
      <c r="F10" s="6">
        <v>12</v>
      </c>
      <c r="G10" s="7">
        <f>IF(E10&gt;0,F10/E10,"n/a")</f>
        <v>0.667</v>
      </c>
      <c r="H10" s="6">
        <f>MAX(E10-F10,0)</f>
        <v>6</v>
      </c>
      <c r="I10" s="6">
        <f>MAX(F10-E10,0)</f>
        <v>0</v>
      </c>
      <c r="J10" s="7">
        <v>1</v>
      </c>
      <c r="K10" s="5" t="s">
        <v>68</v>
      </c>
      <c r="L10" s="14" t="s">
        <v>922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45</v>
      </c>
      <c r="B11" s="5" t="s">
        <v>395</v>
      </c>
      <c r="C11" s="5" t="s">
        <v>404</v>
      </c>
      <c r="D11" s="5" t="s">
        <v>405</v>
      </c>
      <c r="E11" s="6">
        <v>23</v>
      </c>
      <c r="F11" s="6">
        <v>18</v>
      </c>
      <c r="G11" s="7">
        <f>IF(E11&gt;0,F11/E11,"n/a")</f>
        <v>0.7829999999999999</v>
      </c>
      <c r="H11" s="6">
        <f>MAX(E11-F11,0)</f>
        <v>5</v>
      </c>
      <c r="I11" s="6">
        <f>MAX(F11-E11,0)</f>
        <v>0</v>
      </c>
      <c r="J11" s="7">
        <v>1</v>
      </c>
      <c r="K11" s="5" t="s">
        <v>68</v>
      </c>
      <c r="L11" s="14" t="s">
        <v>922</v>
      </c>
      <c r="M11" s="16" t="s">
        <v>19</v>
      </c>
      <c r="N11" s="17" t="s">
        <v>19</v>
      </c>
      <c r="O11" s="16" t="s">
        <v>919</v>
      </c>
      <c r="P11" s="16" t="s">
        <v>19</v>
      </c>
    </row>
  </sheetData>
  <autoFilter ref="A4:P11"/>
  <conditionalFormatting sqref="A5:A11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11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11">
    <cfRule type="cellIs" dxfId="7" priority="8" operator="equal">
      <formula>"Done"</formula>
    </cfRule>
  </conditionalFormatting>
  <dataValidations count="2">
    <dataValidation type="list" allowBlank="1" showInputMessage="1" showErrorMessage="1" sqref="O5:O11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11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943</v>
      </c>
    </row>
    <row r="2" spans="1:16">
      <c r="A2" s="2" t="s">
        <v>944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67</v>
      </c>
      <c r="B5" s="5" t="s">
        <v>229</v>
      </c>
      <c r="C5" s="5" t="s">
        <v>235</v>
      </c>
      <c r="D5" s="5" t="s">
        <v>236</v>
      </c>
      <c r="E5" s="6">
        <v>29</v>
      </c>
      <c r="F5" s="6">
        <v>0</v>
      </c>
      <c r="G5" s="7">
        <f>IF(E5&gt;0,F5/E5,"n/a")</f>
        <v>0.0</v>
      </c>
      <c r="H5" s="6">
        <f>MAX(E5-F5,0)</f>
        <v>29</v>
      </c>
      <c r="I5" s="6">
        <f>MAX(F5-E5,0)</f>
        <v>0</v>
      </c>
      <c r="J5" s="7">
        <v>1</v>
      </c>
      <c r="K5" s="5" t="s">
        <v>68</v>
      </c>
      <c r="L5" s="14" t="s">
        <v>918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67</v>
      </c>
      <c r="B6" s="5" t="s">
        <v>249</v>
      </c>
      <c r="C6" s="5" t="s">
        <v>262</v>
      </c>
      <c r="D6" s="5" t="s">
        <v>263</v>
      </c>
      <c r="E6" s="6">
        <v>28</v>
      </c>
      <c r="F6" s="6">
        <v>0</v>
      </c>
      <c r="G6" s="7">
        <f>IF(E6&gt;0,F6/E6,"n/a")</f>
        <v>0.0</v>
      </c>
      <c r="H6" s="6">
        <f>MAX(E6-F6,0)</f>
        <v>28</v>
      </c>
      <c r="I6" s="6">
        <f>MAX(F6-E6,0)</f>
        <v>0</v>
      </c>
      <c r="J6" s="7">
        <v>1</v>
      </c>
      <c r="K6" s="5" t="s">
        <v>68</v>
      </c>
      <c r="L6" s="14" t="s">
        <v>918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67</v>
      </c>
      <c r="B7" s="5" t="s">
        <v>249</v>
      </c>
      <c r="C7" s="5" t="s">
        <v>258</v>
      </c>
      <c r="D7" s="5" t="s">
        <v>259</v>
      </c>
      <c r="E7" s="6">
        <v>24</v>
      </c>
      <c r="F7" s="6">
        <v>0</v>
      </c>
      <c r="G7" s="7">
        <f>IF(E7&gt;0,F7/E7,"n/a")</f>
        <v>0.0</v>
      </c>
      <c r="H7" s="6">
        <f>MAX(E7-F7,0)</f>
        <v>24</v>
      </c>
      <c r="I7" s="6">
        <f>MAX(F7-E7,0)</f>
        <v>0</v>
      </c>
      <c r="J7" s="7">
        <v>1</v>
      </c>
      <c r="K7" s="5" t="s">
        <v>68</v>
      </c>
      <c r="L7" s="14" t="s">
        <v>918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67</v>
      </c>
      <c r="B8" s="5" t="s">
        <v>278</v>
      </c>
      <c r="C8" s="5" t="s">
        <v>281</v>
      </c>
      <c r="D8" s="5" t="s">
        <v>282</v>
      </c>
      <c r="E8" s="6">
        <v>9</v>
      </c>
      <c r="F8" s="6">
        <v>0</v>
      </c>
      <c r="G8" s="7">
        <f>IF(E8&gt;0,F8/E8,"n/a")</f>
        <v>0.0</v>
      </c>
      <c r="H8" s="6">
        <f>MAX(E8-F8,0)</f>
        <v>9</v>
      </c>
      <c r="I8" s="6">
        <f>MAX(F8-E8,0)</f>
        <v>0</v>
      </c>
      <c r="J8" s="7" t="s">
        <v>928</v>
      </c>
      <c r="K8" s="5" t="s">
        <v>100</v>
      </c>
      <c r="L8" s="14" t="s">
        <v>930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67</v>
      </c>
      <c r="B9" s="5" t="s">
        <v>273</v>
      </c>
      <c r="C9" s="5" t="s">
        <v>274</v>
      </c>
      <c r="D9" s="5" t="s">
        <v>275</v>
      </c>
      <c r="E9" s="6">
        <v>8</v>
      </c>
      <c r="F9" s="6">
        <v>0</v>
      </c>
      <c r="G9" s="7">
        <f>IF(E9&gt;0,F9/E9,"n/a")</f>
        <v>0.0</v>
      </c>
      <c r="H9" s="6">
        <f>MAX(E9-F9,0)</f>
        <v>8</v>
      </c>
      <c r="I9" s="6">
        <f>MAX(F9-E9,0)</f>
        <v>0</v>
      </c>
      <c r="J9" s="7" t="s">
        <v>928</v>
      </c>
      <c r="K9" s="5" t="s">
        <v>100</v>
      </c>
      <c r="L9" s="14" t="s">
        <v>930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67</v>
      </c>
      <c r="B10" s="5" t="s">
        <v>273</v>
      </c>
      <c r="C10" s="5" t="s">
        <v>276</v>
      </c>
      <c r="D10" s="5" t="s">
        <v>277</v>
      </c>
      <c r="E10" s="6">
        <v>5</v>
      </c>
      <c r="F10" s="6">
        <v>0</v>
      </c>
      <c r="G10" s="7">
        <f>IF(E10&gt;0,F10/E10,"n/a")</f>
        <v>0.0</v>
      </c>
      <c r="H10" s="6">
        <f>MAX(E10-F10,0)</f>
        <v>5</v>
      </c>
      <c r="I10" s="6">
        <f>MAX(F10-E10,0)</f>
        <v>0</v>
      </c>
      <c r="J10" s="7" t="s">
        <v>928</v>
      </c>
      <c r="K10" s="5" t="s">
        <v>100</v>
      </c>
      <c r="L10" s="14" t="s">
        <v>930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232</v>
      </c>
      <c r="B11" s="5" t="s">
        <v>229</v>
      </c>
      <c r="C11" s="5" t="s">
        <v>230</v>
      </c>
      <c r="D11" s="5" t="s">
        <v>231</v>
      </c>
      <c r="E11" s="6">
        <v>32</v>
      </c>
      <c r="F11" s="6">
        <v>8</v>
      </c>
      <c r="G11" s="7">
        <f>IF(E11&gt;0,F11/E11,"n/a")</f>
        <v>0.25</v>
      </c>
      <c r="H11" s="6">
        <f>MAX(E11-F11,0)</f>
        <v>24</v>
      </c>
      <c r="I11" s="6">
        <f>MAX(F11-E11,0)</f>
        <v>0</v>
      </c>
      <c r="J11" s="7">
        <v>1</v>
      </c>
      <c r="K11" s="5" t="s">
        <v>68</v>
      </c>
      <c r="L11" s="14" t="s">
        <v>925</v>
      </c>
      <c r="M11" s="16" t="s">
        <v>19</v>
      </c>
      <c r="N11" s="17" t="s">
        <v>19</v>
      </c>
      <c r="O11" s="16" t="s">
        <v>919</v>
      </c>
      <c r="P11" s="16" t="s">
        <v>19</v>
      </c>
    </row>
    <row r="12" spans="1:16">
      <c r="A12" s="5" t="s">
        <v>26</v>
      </c>
      <c r="B12" s="5" t="s">
        <v>264</v>
      </c>
      <c r="C12" s="5" t="s">
        <v>265</v>
      </c>
      <c r="D12" s="5" t="s">
        <v>266</v>
      </c>
      <c r="E12" s="6">
        <v>69</v>
      </c>
      <c r="F12" s="6">
        <v>165</v>
      </c>
      <c r="G12" s="7">
        <f>IF(E12&gt;0,F12/E12,"n/a")</f>
        <v>2.391</v>
      </c>
      <c r="H12" s="6">
        <f>MAX(E12-F12,0)</f>
        <v>0</v>
      </c>
      <c r="I12" s="6">
        <f>MAX(F12-E12,0)</f>
        <v>96</v>
      </c>
      <c r="J12" s="7">
        <v>1</v>
      </c>
      <c r="K12" s="5" t="s">
        <v>20</v>
      </c>
      <c r="L12" s="14" t="s">
        <v>921</v>
      </c>
      <c r="M12" s="16" t="s">
        <v>19</v>
      </c>
      <c r="N12" s="17" t="s">
        <v>19</v>
      </c>
      <c r="O12" s="16" t="s">
        <v>919</v>
      </c>
      <c r="P12" s="16" t="s">
        <v>19</v>
      </c>
    </row>
    <row r="13" spans="1:16">
      <c r="A13" s="5" t="s">
        <v>244</v>
      </c>
      <c r="B13" s="5" t="s">
        <v>249</v>
      </c>
      <c r="C13" s="5" t="s">
        <v>260</v>
      </c>
      <c r="D13" s="5" t="s">
        <v>261</v>
      </c>
      <c r="E13" s="6">
        <v>0</v>
      </c>
      <c r="F13" s="6">
        <v>52</v>
      </c>
      <c r="G13" s="7" t="str">
        <f>IF(E13&gt;0,F13/E13,"n/a")</f>
        <v>n/a</v>
      </c>
      <c r="H13" s="6">
        <f>MAX(E13-F13,0)</f>
        <v>0</v>
      </c>
      <c r="I13" s="6">
        <f>MAX(F13-E13,0)</f>
        <v>52</v>
      </c>
      <c r="J13" s="7" t="s">
        <v>928</v>
      </c>
      <c r="K13" s="5" t="s">
        <v>100</v>
      </c>
      <c r="L13" s="14" t="s">
        <v>929</v>
      </c>
      <c r="M13" s="16" t="s">
        <v>19</v>
      </c>
      <c r="N13" s="17" t="s">
        <v>19</v>
      </c>
      <c r="O13" s="16" t="s">
        <v>919</v>
      </c>
      <c r="P13" s="16" t="s">
        <v>19</v>
      </c>
    </row>
    <row r="14" spans="1:16">
      <c r="A14" s="5" t="s">
        <v>26</v>
      </c>
      <c r="B14" s="5" t="s">
        <v>229</v>
      </c>
      <c r="C14" s="5" t="s">
        <v>233</v>
      </c>
      <c r="D14" s="5" t="s">
        <v>234</v>
      </c>
      <c r="E14" s="6">
        <v>74</v>
      </c>
      <c r="F14" s="6">
        <v>92</v>
      </c>
      <c r="G14" s="7">
        <f>IF(E14&gt;0,F14/E14,"n/a")</f>
        <v>1.2429999999999999</v>
      </c>
      <c r="H14" s="6">
        <f>MAX(E14-F14,0)</f>
        <v>0</v>
      </c>
      <c r="I14" s="6">
        <f>MAX(F14-E14,0)</f>
        <v>18</v>
      </c>
      <c r="J14" s="7">
        <v>1</v>
      </c>
      <c r="K14" s="5" t="s">
        <v>20</v>
      </c>
      <c r="L14" s="14" t="s">
        <v>921</v>
      </c>
      <c r="M14" s="16" t="s">
        <v>19</v>
      </c>
      <c r="N14" s="17" t="s">
        <v>19</v>
      </c>
      <c r="O14" s="16" t="s">
        <v>919</v>
      </c>
      <c r="P14" s="16" t="s">
        <v>19</v>
      </c>
    </row>
    <row r="15" spans="1:16">
      <c r="A15" s="5" t="s">
        <v>26</v>
      </c>
      <c r="B15" s="5" t="s">
        <v>264</v>
      </c>
      <c r="C15" s="5" t="s">
        <v>267</v>
      </c>
      <c r="D15" s="5" t="s">
        <v>268</v>
      </c>
      <c r="E15" s="6">
        <v>22</v>
      </c>
      <c r="F15" s="6">
        <v>38</v>
      </c>
      <c r="G15" s="7">
        <f>IF(E15&gt;0,F15/E15,"n/a")</f>
        <v>1.7269999999999999</v>
      </c>
      <c r="H15" s="6">
        <f>MAX(E15-F15,0)</f>
        <v>0</v>
      </c>
      <c r="I15" s="6">
        <f>MAX(F15-E15,0)</f>
        <v>16</v>
      </c>
      <c r="J15" s="7">
        <v>1</v>
      </c>
      <c r="K15" s="5" t="s">
        <v>20</v>
      </c>
      <c r="L15" s="14" t="s">
        <v>921</v>
      </c>
      <c r="M15" s="16" t="s">
        <v>19</v>
      </c>
      <c r="N15" s="17" t="s">
        <v>19</v>
      </c>
      <c r="O15" s="16" t="s">
        <v>919</v>
      </c>
      <c r="P15" s="16" t="s">
        <v>19</v>
      </c>
    </row>
    <row r="16" spans="1:16">
      <c r="A16" s="5" t="s">
        <v>26</v>
      </c>
      <c r="B16" s="5" t="s">
        <v>239</v>
      </c>
      <c r="C16" s="5" t="s">
        <v>240</v>
      </c>
      <c r="D16" s="5" t="s">
        <v>241</v>
      </c>
      <c r="E16" s="6">
        <v>21</v>
      </c>
      <c r="F16" s="6">
        <v>29</v>
      </c>
      <c r="G16" s="7">
        <f>IF(E16&gt;0,F16/E16,"n/a")</f>
        <v>1.381</v>
      </c>
      <c r="H16" s="6">
        <f>MAX(E16-F16,0)</f>
        <v>0</v>
      </c>
      <c r="I16" s="6">
        <f>MAX(F16-E16,0)</f>
        <v>8</v>
      </c>
      <c r="J16" s="7">
        <v>1</v>
      </c>
      <c r="K16" s="5" t="s">
        <v>20</v>
      </c>
      <c r="L16" s="14" t="s">
        <v>921</v>
      </c>
      <c r="M16" s="16" t="s">
        <v>19</v>
      </c>
      <c r="N16" s="17" t="s">
        <v>19</v>
      </c>
      <c r="O16" s="16" t="s">
        <v>919</v>
      </c>
      <c r="P16" s="16" t="s">
        <v>19</v>
      </c>
    </row>
    <row r="17" spans="1:16">
      <c r="A17" s="5" t="s">
        <v>244</v>
      </c>
      <c r="B17" s="5" t="s">
        <v>239</v>
      </c>
      <c r="C17" s="5" t="s">
        <v>242</v>
      </c>
      <c r="D17" s="5" t="s">
        <v>243</v>
      </c>
      <c r="E17" s="6">
        <v>0</v>
      </c>
      <c r="F17" s="6">
        <v>8</v>
      </c>
      <c r="G17" s="7" t="str">
        <f>IF(E17&gt;0,F17/E17,"n/a")</f>
        <v>n/a</v>
      </c>
      <c r="H17" s="6">
        <f>MAX(E17-F17,0)</f>
        <v>0</v>
      </c>
      <c r="I17" s="6">
        <f>MAX(F17-E17,0)</f>
        <v>8</v>
      </c>
      <c r="J17" s="7">
        <v>1</v>
      </c>
      <c r="K17" s="5" t="s">
        <v>100</v>
      </c>
      <c r="L17" s="14" t="s">
        <v>929</v>
      </c>
      <c r="M17" s="16" t="s">
        <v>19</v>
      </c>
      <c r="N17" s="17" t="s">
        <v>19</v>
      </c>
      <c r="O17" s="16" t="s">
        <v>919</v>
      </c>
      <c r="P17" s="16" t="s">
        <v>19</v>
      </c>
    </row>
    <row r="18" spans="1:16">
      <c r="A18" s="5" t="s">
        <v>26</v>
      </c>
      <c r="B18" s="5" t="s">
        <v>249</v>
      </c>
      <c r="C18" s="5" t="s">
        <v>250</v>
      </c>
      <c r="D18" s="5" t="s">
        <v>251</v>
      </c>
      <c r="E18" s="6">
        <v>2</v>
      </c>
      <c r="F18" s="6">
        <v>5</v>
      </c>
      <c r="G18" s="7">
        <f>IF(E18&gt;0,F18/E18,"n/a")</f>
        <v>2.5</v>
      </c>
      <c r="H18" s="6">
        <f>MAX(E18-F18,0)</f>
        <v>0</v>
      </c>
      <c r="I18" s="6">
        <f>MAX(F18-E18,0)</f>
        <v>3</v>
      </c>
      <c r="J18" s="7">
        <v>1</v>
      </c>
      <c r="K18" s="5" t="s">
        <v>20</v>
      </c>
      <c r="L18" s="14" t="s">
        <v>921</v>
      </c>
      <c r="M18" s="16" t="s">
        <v>19</v>
      </c>
      <c r="N18" s="17" t="s">
        <v>19</v>
      </c>
      <c r="O18" s="16" t="s">
        <v>919</v>
      </c>
      <c r="P18" s="16" t="s">
        <v>19</v>
      </c>
    </row>
    <row r="19" spans="1:16">
      <c r="A19" s="5" t="s">
        <v>45</v>
      </c>
      <c r="B19" s="5" t="s">
        <v>264</v>
      </c>
      <c r="C19" s="5" t="s">
        <v>269</v>
      </c>
      <c r="D19" s="5" t="s">
        <v>270</v>
      </c>
      <c r="E19" s="6">
        <v>63</v>
      </c>
      <c r="F19" s="6">
        <v>35</v>
      </c>
      <c r="G19" s="7">
        <f>IF(E19&gt;0,F19/E19,"n/a")</f>
        <v>0.556</v>
      </c>
      <c r="H19" s="6">
        <f>MAX(E19-F19,0)</f>
        <v>28</v>
      </c>
      <c r="I19" s="6">
        <f>MAX(F19-E19,0)</f>
        <v>0</v>
      </c>
      <c r="J19" s="7">
        <v>1</v>
      </c>
      <c r="K19" s="5" t="s">
        <v>68</v>
      </c>
      <c r="L19" s="14" t="s">
        <v>922</v>
      </c>
      <c r="M19" s="16" t="s">
        <v>19</v>
      </c>
      <c r="N19" s="17" t="s">
        <v>19</v>
      </c>
      <c r="O19" s="16" t="s">
        <v>919</v>
      </c>
      <c r="P19" s="16" t="s">
        <v>19</v>
      </c>
    </row>
  </sheetData>
  <autoFilter ref="A4:P19"/>
  <conditionalFormatting sqref="A5:A19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19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19">
    <cfRule type="cellIs" dxfId="7" priority="8" operator="equal">
      <formula>"Done"</formula>
    </cfRule>
  </conditionalFormatting>
  <dataValidations count="2">
    <dataValidation type="list" allowBlank="1" showInputMessage="1" showErrorMessage="1" sqref="O5:O19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19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945</v>
      </c>
    </row>
    <row r="2" spans="1:16">
      <c r="A2" s="2" t="s">
        <v>946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67</v>
      </c>
      <c r="B5" s="5" t="s">
        <v>479</v>
      </c>
      <c r="C5" s="5" t="s">
        <v>484</v>
      </c>
      <c r="D5" s="5" t="s">
        <v>485</v>
      </c>
      <c r="E5" s="6">
        <v>32</v>
      </c>
      <c r="F5" s="6">
        <v>0</v>
      </c>
      <c r="G5" s="7">
        <f>IF(E5&gt;0,F5/E5,"n/a")</f>
        <v>0.0</v>
      </c>
      <c r="H5" s="6">
        <f>MAX(E5-F5,0)</f>
        <v>32</v>
      </c>
      <c r="I5" s="6">
        <f>MAX(F5-E5,0)</f>
        <v>0</v>
      </c>
      <c r="J5" s="7">
        <v>7</v>
      </c>
      <c r="K5" s="5" t="s">
        <v>68</v>
      </c>
      <c r="L5" s="14" t="s">
        <v>918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67</v>
      </c>
      <c r="B6" s="5" t="s">
        <v>486</v>
      </c>
      <c r="C6" s="5" t="s">
        <v>515</v>
      </c>
      <c r="D6" s="5" t="s">
        <v>516</v>
      </c>
      <c r="E6" s="6">
        <v>27</v>
      </c>
      <c r="F6" s="6">
        <v>0</v>
      </c>
      <c r="G6" s="7">
        <f>IF(E6&gt;0,F6/E6,"n/a")</f>
        <v>0.0</v>
      </c>
      <c r="H6" s="6">
        <f>MAX(E6-F6,0)</f>
        <v>27</v>
      </c>
      <c r="I6" s="6">
        <f>MAX(F6-E6,0)</f>
        <v>0</v>
      </c>
      <c r="J6" s="7">
        <v>1</v>
      </c>
      <c r="K6" s="5" t="s">
        <v>68</v>
      </c>
      <c r="L6" s="14" t="s">
        <v>918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67</v>
      </c>
      <c r="B7" s="5" t="s">
        <v>486</v>
      </c>
      <c r="C7" s="5" t="s">
        <v>489</v>
      </c>
      <c r="D7" s="5" t="s">
        <v>490</v>
      </c>
      <c r="E7" s="6">
        <v>19</v>
      </c>
      <c r="F7" s="6">
        <v>0</v>
      </c>
      <c r="G7" s="7">
        <f>IF(E7&gt;0,F7/E7,"n/a")</f>
        <v>0.0</v>
      </c>
      <c r="H7" s="6">
        <f>MAX(E7-F7,0)</f>
        <v>19</v>
      </c>
      <c r="I7" s="6">
        <f>MAX(F7-E7,0)</f>
        <v>0</v>
      </c>
      <c r="J7" s="7">
        <v>1</v>
      </c>
      <c r="K7" s="5" t="s">
        <v>68</v>
      </c>
      <c r="L7" s="14" t="s">
        <v>918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67</v>
      </c>
      <c r="B8" s="5" t="s">
        <v>441</v>
      </c>
      <c r="C8" s="5" t="s">
        <v>452</v>
      </c>
      <c r="D8" s="5" t="s">
        <v>453</v>
      </c>
      <c r="E8" s="6">
        <v>10</v>
      </c>
      <c r="F8" s="6">
        <v>0</v>
      </c>
      <c r="G8" s="7">
        <f>IF(E8&gt;0,F8/E8,"n/a")</f>
        <v>0.0</v>
      </c>
      <c r="H8" s="6">
        <f>MAX(E8-F8,0)</f>
        <v>10</v>
      </c>
      <c r="I8" s="6">
        <f>MAX(F8-E8,0)</f>
        <v>0</v>
      </c>
      <c r="J8" s="7">
        <v>1</v>
      </c>
      <c r="K8" s="5" t="s">
        <v>68</v>
      </c>
      <c r="L8" s="14" t="s">
        <v>918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67</v>
      </c>
      <c r="B9" s="5" t="s">
        <v>441</v>
      </c>
      <c r="C9" s="5" t="s">
        <v>464</v>
      </c>
      <c r="D9" s="5" t="s">
        <v>465</v>
      </c>
      <c r="E9" s="6">
        <v>6</v>
      </c>
      <c r="F9" s="6">
        <v>0</v>
      </c>
      <c r="G9" s="7">
        <f>IF(E9&gt;0,F9/E9,"n/a")</f>
        <v>0.0</v>
      </c>
      <c r="H9" s="6">
        <f>MAX(E9-F9,0)</f>
        <v>6</v>
      </c>
      <c r="I9" s="6">
        <f>MAX(F9-E9,0)</f>
        <v>0</v>
      </c>
      <c r="J9" s="7">
        <v>1</v>
      </c>
      <c r="K9" s="5" t="s">
        <v>68</v>
      </c>
      <c r="L9" s="14" t="s">
        <v>918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67</v>
      </c>
      <c r="B10" s="5" t="s">
        <v>441</v>
      </c>
      <c r="C10" s="5" t="s">
        <v>448</v>
      </c>
      <c r="D10" s="5" t="s">
        <v>449</v>
      </c>
      <c r="E10" s="6">
        <v>4</v>
      </c>
      <c r="F10" s="6">
        <v>0</v>
      </c>
      <c r="G10" s="7">
        <f>IF(E10&gt;0,F10/E10,"n/a")</f>
        <v>0.0</v>
      </c>
      <c r="H10" s="6">
        <f>MAX(E10-F10,0)</f>
        <v>4</v>
      </c>
      <c r="I10" s="6">
        <f>MAX(F10-E10,0)</f>
        <v>0</v>
      </c>
      <c r="J10" s="7">
        <v>0.5710000000000001</v>
      </c>
      <c r="K10" s="5" t="s">
        <v>46</v>
      </c>
      <c r="L10" s="14" t="s">
        <v>920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26</v>
      </c>
      <c r="B11" s="5" t="s">
        <v>486</v>
      </c>
      <c r="C11" s="5" t="s">
        <v>511</v>
      </c>
      <c r="D11" s="5" t="s">
        <v>512</v>
      </c>
      <c r="E11" s="6">
        <v>29</v>
      </c>
      <c r="F11" s="6">
        <v>49</v>
      </c>
      <c r="G11" s="7">
        <f>IF(E11&gt;0,F11/E11,"n/a")</f>
        <v>1.69</v>
      </c>
      <c r="H11" s="6">
        <f>MAX(E11-F11,0)</f>
        <v>0</v>
      </c>
      <c r="I11" s="6">
        <f>MAX(F11-E11,0)</f>
        <v>20</v>
      </c>
      <c r="J11" s="7">
        <v>1.091</v>
      </c>
      <c r="K11" s="5" t="s">
        <v>20</v>
      </c>
      <c r="L11" s="14" t="s">
        <v>921</v>
      </c>
      <c r="M11" s="16" t="s">
        <v>19</v>
      </c>
      <c r="N11" s="17" t="s">
        <v>19</v>
      </c>
      <c r="O11" s="16" t="s">
        <v>919</v>
      </c>
      <c r="P11" s="16" t="s">
        <v>19</v>
      </c>
    </row>
    <row r="12" spans="1:16">
      <c r="A12" s="5" t="s">
        <v>26</v>
      </c>
      <c r="B12" s="5" t="s">
        <v>486</v>
      </c>
      <c r="C12" s="5" t="s">
        <v>491</v>
      </c>
      <c r="D12" s="5" t="s">
        <v>492</v>
      </c>
      <c r="E12" s="6">
        <v>11</v>
      </c>
      <c r="F12" s="6">
        <v>23</v>
      </c>
      <c r="G12" s="7">
        <f>IF(E12&gt;0,F12/E12,"n/a")</f>
        <v>2.0909999999999997</v>
      </c>
      <c r="H12" s="6">
        <f>MAX(E12-F12,0)</f>
        <v>0</v>
      </c>
      <c r="I12" s="6">
        <f>MAX(F12-E12,0)</f>
        <v>12</v>
      </c>
      <c r="J12" s="7">
        <v>1</v>
      </c>
      <c r="K12" s="5" t="s">
        <v>20</v>
      </c>
      <c r="L12" s="14" t="s">
        <v>921</v>
      </c>
      <c r="M12" s="16" t="s">
        <v>19</v>
      </c>
      <c r="N12" s="17" t="s">
        <v>19</v>
      </c>
      <c r="O12" s="16" t="s">
        <v>919</v>
      </c>
      <c r="P12" s="16" t="s">
        <v>19</v>
      </c>
    </row>
    <row r="13" spans="1:16">
      <c r="A13" s="5" t="s">
        <v>26</v>
      </c>
      <c r="B13" s="5" t="s">
        <v>486</v>
      </c>
      <c r="C13" s="5" t="s">
        <v>501</v>
      </c>
      <c r="D13" s="5" t="s">
        <v>502</v>
      </c>
      <c r="E13" s="6">
        <v>13</v>
      </c>
      <c r="F13" s="6">
        <v>22</v>
      </c>
      <c r="G13" s="7">
        <f>IF(E13&gt;0,F13/E13,"n/a")</f>
        <v>1.692</v>
      </c>
      <c r="H13" s="6">
        <f>MAX(E13-F13,0)</f>
        <v>0</v>
      </c>
      <c r="I13" s="6">
        <f>MAX(F13-E13,0)</f>
        <v>9</v>
      </c>
      <c r="J13" s="7">
        <v>1</v>
      </c>
      <c r="K13" s="5" t="s">
        <v>20</v>
      </c>
      <c r="L13" s="14" t="s">
        <v>921</v>
      </c>
      <c r="M13" s="16" t="s">
        <v>19</v>
      </c>
      <c r="N13" s="17" t="s">
        <v>19</v>
      </c>
      <c r="O13" s="16" t="s">
        <v>919</v>
      </c>
      <c r="P13" s="16" t="s">
        <v>19</v>
      </c>
    </row>
    <row r="14" spans="1:16">
      <c r="A14" s="5" t="s">
        <v>26</v>
      </c>
      <c r="B14" s="5" t="s">
        <v>479</v>
      </c>
      <c r="C14" s="5" t="s">
        <v>480</v>
      </c>
      <c r="D14" s="5" t="s">
        <v>481</v>
      </c>
      <c r="E14" s="6">
        <v>21</v>
      </c>
      <c r="F14" s="6">
        <v>28</v>
      </c>
      <c r="G14" s="7">
        <f>IF(E14&gt;0,F14/E14,"n/a")</f>
        <v>1.3330000000000002</v>
      </c>
      <c r="H14" s="6">
        <f>MAX(E14-F14,0)</f>
        <v>0</v>
      </c>
      <c r="I14" s="6">
        <f>MAX(F14-E14,0)</f>
        <v>7</v>
      </c>
      <c r="J14" s="7">
        <v>1</v>
      </c>
      <c r="K14" s="5" t="s">
        <v>20</v>
      </c>
      <c r="L14" s="14" t="s">
        <v>921</v>
      </c>
      <c r="M14" s="16" t="s">
        <v>19</v>
      </c>
      <c r="N14" s="17" t="s">
        <v>19</v>
      </c>
      <c r="O14" s="16" t="s">
        <v>919</v>
      </c>
      <c r="P14" s="16" t="s">
        <v>19</v>
      </c>
    </row>
    <row r="15" spans="1:16">
      <c r="A15" s="5" t="s">
        <v>26</v>
      </c>
      <c r="B15" s="5" t="s">
        <v>486</v>
      </c>
      <c r="C15" s="5" t="s">
        <v>507</v>
      </c>
      <c r="D15" s="5" t="s">
        <v>508</v>
      </c>
      <c r="E15" s="6">
        <v>23</v>
      </c>
      <c r="F15" s="6">
        <v>28</v>
      </c>
      <c r="G15" s="7">
        <f>IF(E15&gt;0,F15/E15,"n/a")</f>
        <v>1.217</v>
      </c>
      <c r="H15" s="6">
        <f>MAX(E15-F15,0)</f>
        <v>0</v>
      </c>
      <c r="I15" s="6">
        <f>MAX(F15-E15,0)</f>
        <v>5</v>
      </c>
      <c r="J15" s="7">
        <v>1</v>
      </c>
      <c r="K15" s="5" t="s">
        <v>20</v>
      </c>
      <c r="L15" s="14" t="s">
        <v>921</v>
      </c>
      <c r="M15" s="16" t="s">
        <v>19</v>
      </c>
      <c r="N15" s="17" t="s">
        <v>19</v>
      </c>
      <c r="O15" s="16" t="s">
        <v>919</v>
      </c>
      <c r="P15" s="16" t="s">
        <v>19</v>
      </c>
    </row>
    <row r="16" spans="1:16">
      <c r="A16" s="5" t="s">
        <v>26</v>
      </c>
      <c r="B16" s="5" t="s">
        <v>441</v>
      </c>
      <c r="C16" s="5" t="s">
        <v>462</v>
      </c>
      <c r="D16" s="5" t="s">
        <v>463</v>
      </c>
      <c r="E16" s="6">
        <v>16</v>
      </c>
      <c r="F16" s="6">
        <v>20</v>
      </c>
      <c r="G16" s="7">
        <f>IF(E16&gt;0,F16/E16,"n/a")</f>
        <v>1.25</v>
      </c>
      <c r="H16" s="6">
        <f>MAX(E16-F16,0)</f>
        <v>0</v>
      </c>
      <c r="I16" s="6">
        <f>MAX(F16-E16,0)</f>
        <v>4</v>
      </c>
      <c r="J16" s="7">
        <v>1</v>
      </c>
      <c r="K16" s="5" t="s">
        <v>20</v>
      </c>
      <c r="L16" s="14" t="s">
        <v>921</v>
      </c>
      <c r="M16" s="16" t="s">
        <v>19</v>
      </c>
      <c r="N16" s="17" t="s">
        <v>19</v>
      </c>
      <c r="O16" s="16" t="s">
        <v>919</v>
      </c>
      <c r="P16" s="16" t="s">
        <v>19</v>
      </c>
    </row>
    <row r="17" spans="1:16">
      <c r="A17" s="5" t="s">
        <v>26</v>
      </c>
      <c r="B17" s="5" t="s">
        <v>468</v>
      </c>
      <c r="C17" s="5" t="s">
        <v>469</v>
      </c>
      <c r="D17" s="5" t="s">
        <v>470</v>
      </c>
      <c r="E17" s="6">
        <v>5</v>
      </c>
      <c r="F17" s="6">
        <v>8</v>
      </c>
      <c r="G17" s="7">
        <f>IF(E17&gt;0,F17/E17,"n/a")</f>
        <v>1.6</v>
      </c>
      <c r="H17" s="6">
        <f>MAX(E17-F17,0)</f>
        <v>0</v>
      </c>
      <c r="I17" s="6">
        <f>MAX(F17-E17,0)</f>
        <v>3</v>
      </c>
      <c r="J17" s="7">
        <v>1</v>
      </c>
      <c r="K17" s="5" t="s">
        <v>20</v>
      </c>
      <c r="L17" s="14" t="s">
        <v>921</v>
      </c>
      <c r="M17" s="16" t="s">
        <v>19</v>
      </c>
      <c r="N17" s="17" t="s">
        <v>19</v>
      </c>
      <c r="O17" s="16" t="s">
        <v>919</v>
      </c>
      <c r="P17" s="16" t="s">
        <v>19</v>
      </c>
    </row>
    <row r="18" spans="1:16">
      <c r="A18" s="5" t="s">
        <v>26</v>
      </c>
      <c r="B18" s="5" t="s">
        <v>441</v>
      </c>
      <c r="C18" s="5" t="s">
        <v>444</v>
      </c>
      <c r="D18" s="5" t="s">
        <v>445</v>
      </c>
      <c r="E18" s="6">
        <v>2</v>
      </c>
      <c r="F18" s="6">
        <v>4</v>
      </c>
      <c r="G18" s="7">
        <f>IF(E18&gt;0,F18/E18,"n/a")</f>
        <v>2.0</v>
      </c>
      <c r="H18" s="6">
        <f>MAX(E18-F18,0)</f>
        <v>0</v>
      </c>
      <c r="I18" s="6">
        <f>MAX(F18-E18,0)</f>
        <v>2</v>
      </c>
      <c r="J18" s="7" t="s">
        <v>928</v>
      </c>
      <c r="K18" s="5" t="s">
        <v>100</v>
      </c>
      <c r="L18" s="14" t="s">
        <v>921</v>
      </c>
      <c r="M18" s="16" t="s">
        <v>19</v>
      </c>
      <c r="N18" s="17" t="s">
        <v>19</v>
      </c>
      <c r="O18" s="16" t="s">
        <v>919</v>
      </c>
      <c r="P18" s="16" t="s">
        <v>19</v>
      </c>
    </row>
    <row r="19" spans="1:16">
      <c r="A19" s="5" t="s">
        <v>26</v>
      </c>
      <c r="B19" s="5" t="s">
        <v>486</v>
      </c>
      <c r="C19" s="5" t="s">
        <v>493</v>
      </c>
      <c r="D19" s="5" t="s">
        <v>494</v>
      </c>
      <c r="E19" s="6">
        <v>19</v>
      </c>
      <c r="F19" s="6">
        <v>21</v>
      </c>
      <c r="G19" s="7">
        <f>IF(E19&gt;0,F19/E19,"n/a")</f>
        <v>1.105</v>
      </c>
      <c r="H19" s="6">
        <f>MAX(E19-F19,0)</f>
        <v>0</v>
      </c>
      <c r="I19" s="6">
        <f>MAX(F19-E19,0)</f>
        <v>2</v>
      </c>
      <c r="J19" s="7">
        <v>1</v>
      </c>
      <c r="K19" s="5" t="s">
        <v>20</v>
      </c>
      <c r="L19" s="14" t="s">
        <v>921</v>
      </c>
      <c r="M19" s="16" t="s">
        <v>19</v>
      </c>
      <c r="N19" s="17" t="s">
        <v>19</v>
      </c>
      <c r="O19" s="16" t="s">
        <v>919</v>
      </c>
      <c r="P19" s="16" t="s">
        <v>19</v>
      </c>
    </row>
    <row r="20" spans="1:16">
      <c r="A20" s="5" t="s">
        <v>26</v>
      </c>
      <c r="B20" s="5" t="s">
        <v>441</v>
      </c>
      <c r="C20" s="5" t="s">
        <v>466</v>
      </c>
      <c r="D20" s="5" t="s">
        <v>467</v>
      </c>
      <c r="E20" s="6">
        <v>8</v>
      </c>
      <c r="F20" s="6">
        <v>9</v>
      </c>
      <c r="G20" s="7">
        <f>IF(E20&gt;0,F20/E20,"n/a")</f>
        <v>1.125</v>
      </c>
      <c r="H20" s="6">
        <f>MAX(E20-F20,0)</f>
        <v>0</v>
      </c>
      <c r="I20" s="6">
        <f>MAX(F20-E20,0)</f>
        <v>1</v>
      </c>
      <c r="J20" s="7" t="s">
        <v>928</v>
      </c>
      <c r="K20" s="5" t="s">
        <v>100</v>
      </c>
      <c r="L20" s="14" t="s">
        <v>921</v>
      </c>
      <c r="M20" s="16" t="s">
        <v>19</v>
      </c>
      <c r="N20" s="17" t="s">
        <v>19</v>
      </c>
      <c r="O20" s="16" t="s">
        <v>919</v>
      </c>
      <c r="P20" s="16" t="s">
        <v>19</v>
      </c>
    </row>
    <row r="21" spans="1:16">
      <c r="A21" s="5" t="s">
        <v>26</v>
      </c>
      <c r="B21" s="5" t="s">
        <v>468</v>
      </c>
      <c r="C21" s="5" t="s">
        <v>473</v>
      </c>
      <c r="D21" s="5" t="s">
        <v>474</v>
      </c>
      <c r="E21" s="6">
        <v>4</v>
      </c>
      <c r="F21" s="6">
        <v>5</v>
      </c>
      <c r="G21" s="7">
        <f>IF(E21&gt;0,F21/E21,"n/a")</f>
        <v>1.25</v>
      </c>
      <c r="H21" s="6">
        <f>MAX(E21-F21,0)</f>
        <v>0</v>
      </c>
      <c r="I21" s="6">
        <f>MAX(F21-E21,0)</f>
        <v>1</v>
      </c>
      <c r="J21" s="7">
        <v>1.125</v>
      </c>
      <c r="K21" s="5" t="s">
        <v>20</v>
      </c>
      <c r="L21" s="14" t="s">
        <v>921</v>
      </c>
      <c r="M21" s="16" t="s">
        <v>19</v>
      </c>
      <c r="N21" s="17" t="s">
        <v>19</v>
      </c>
      <c r="O21" s="16" t="s">
        <v>919</v>
      </c>
      <c r="P21" s="16" t="s">
        <v>19</v>
      </c>
    </row>
    <row r="22" spans="1:16">
      <c r="A22" s="5" t="s">
        <v>45</v>
      </c>
      <c r="B22" s="5" t="s">
        <v>486</v>
      </c>
      <c r="C22" s="5" t="s">
        <v>505</v>
      </c>
      <c r="D22" s="5" t="s">
        <v>506</v>
      </c>
      <c r="E22" s="6">
        <v>24</v>
      </c>
      <c r="F22" s="6">
        <v>14</v>
      </c>
      <c r="G22" s="7">
        <f>IF(E22&gt;0,F22/E22,"n/a")</f>
        <v>0.583</v>
      </c>
      <c r="H22" s="6">
        <f>MAX(E22-F22,0)</f>
        <v>10</v>
      </c>
      <c r="I22" s="6">
        <f>MAX(F22-E22,0)</f>
        <v>0</v>
      </c>
      <c r="J22" s="7">
        <v>0</v>
      </c>
      <c r="K22" s="5" t="s">
        <v>46</v>
      </c>
      <c r="L22" s="14" t="s">
        <v>923</v>
      </c>
      <c r="M22" s="16" t="s">
        <v>19</v>
      </c>
      <c r="N22" s="17" t="s">
        <v>19</v>
      </c>
      <c r="O22" s="16" t="s">
        <v>919</v>
      </c>
      <c r="P22" s="16" t="s">
        <v>19</v>
      </c>
    </row>
    <row r="23" spans="1:16">
      <c r="A23" s="5" t="s">
        <v>45</v>
      </c>
      <c r="B23" s="5" t="s">
        <v>441</v>
      </c>
      <c r="C23" s="5" t="s">
        <v>458</v>
      </c>
      <c r="D23" s="5" t="s">
        <v>459</v>
      </c>
      <c r="E23" s="6">
        <v>7</v>
      </c>
      <c r="F23" s="6">
        <v>4</v>
      </c>
      <c r="G23" s="7">
        <f>IF(E23&gt;0,F23/E23,"n/a")</f>
        <v>0.5710000000000001</v>
      </c>
      <c r="H23" s="6">
        <f>MAX(E23-F23,0)</f>
        <v>3</v>
      </c>
      <c r="I23" s="6">
        <f>MAX(F23-E23,0)</f>
        <v>0</v>
      </c>
      <c r="J23" s="7">
        <v>1</v>
      </c>
      <c r="K23" s="5" t="s">
        <v>68</v>
      </c>
      <c r="L23" s="14" t="s">
        <v>922</v>
      </c>
      <c r="M23" s="16" t="s">
        <v>19</v>
      </c>
      <c r="N23" s="17" t="s">
        <v>19</v>
      </c>
      <c r="O23" s="16" t="s">
        <v>919</v>
      </c>
      <c r="P23" s="16" t="s">
        <v>19</v>
      </c>
    </row>
    <row r="24" spans="1:16">
      <c r="A24" s="5" t="s">
        <v>45</v>
      </c>
      <c r="B24" s="5" t="s">
        <v>486</v>
      </c>
      <c r="C24" s="5" t="s">
        <v>503</v>
      </c>
      <c r="D24" s="5" t="s">
        <v>504</v>
      </c>
      <c r="E24" s="6">
        <v>3</v>
      </c>
      <c r="F24" s="6">
        <v>2</v>
      </c>
      <c r="G24" s="7">
        <f>IF(E24&gt;0,F24/E24,"n/a")</f>
        <v>0.667</v>
      </c>
      <c r="H24" s="6">
        <f>MAX(E24-F24,0)</f>
        <v>1</v>
      </c>
      <c r="I24" s="6">
        <f>MAX(F24-E24,0)</f>
        <v>0</v>
      </c>
      <c r="J24" s="7">
        <v>1</v>
      </c>
      <c r="K24" s="5" t="s">
        <v>68</v>
      </c>
      <c r="L24" s="14" t="s">
        <v>922</v>
      </c>
      <c r="M24" s="16" t="s">
        <v>19</v>
      </c>
      <c r="N24" s="17" t="s">
        <v>19</v>
      </c>
      <c r="O24" s="16" t="s">
        <v>919</v>
      </c>
      <c r="P24" s="16" t="s">
        <v>19</v>
      </c>
    </row>
  </sheetData>
  <autoFilter ref="A4:P24"/>
  <conditionalFormatting sqref="A5:A24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24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24">
    <cfRule type="cellIs" dxfId="7" priority="8" operator="equal">
      <formula>"Done"</formula>
    </cfRule>
  </conditionalFormatting>
  <dataValidations count="2">
    <dataValidation type="list" allowBlank="1" showInputMessage="1" showErrorMessage="1" sqref="O5:O24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24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8" width="10.7109375" customWidth="1"/>
    <col min="9" max="9" width="9.7109375" customWidth="1"/>
    <col min="10" max="10" width="11.7109375" customWidth="1"/>
    <col min="11" max="11" width="17.7109375" customWidth="1"/>
    <col min="12" max="12" width="52.7109375" customWidth="1"/>
    <col min="13" max="13" width="18.7109375" customWidth="1"/>
    <col min="14" max="14" width="12.7109375" customWidth="1"/>
    <col min="15" max="15" width="16.7109375" customWidth="1"/>
    <col min="16" max="16" width="26.7109375" customWidth="1"/>
  </cols>
  <sheetData>
    <row r="1" spans="1:16">
      <c r="A1" s="1" t="s">
        <v>947</v>
      </c>
    </row>
    <row r="2" spans="1:16">
      <c r="A2" s="2" t="s">
        <v>948</v>
      </c>
    </row>
    <row r="4" spans="1:16" ht="32" customHeight="1">
      <c r="A4" s="3" t="s">
        <v>910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911</v>
      </c>
      <c r="I4" s="3" t="s">
        <v>912</v>
      </c>
      <c r="J4" s="3" t="s">
        <v>12</v>
      </c>
      <c r="K4" s="3" t="s">
        <v>14</v>
      </c>
      <c r="L4" s="3" t="s">
        <v>913</v>
      </c>
      <c r="M4" s="4" t="s">
        <v>914</v>
      </c>
      <c r="N4" s="4" t="s">
        <v>915</v>
      </c>
      <c r="O4" s="4" t="s">
        <v>916</v>
      </c>
      <c r="P4" s="4" t="s">
        <v>917</v>
      </c>
    </row>
    <row r="5" spans="1:16">
      <c r="A5" s="5" t="s">
        <v>67</v>
      </c>
      <c r="B5" s="5" t="s">
        <v>542</v>
      </c>
      <c r="C5" s="5" t="s">
        <v>509</v>
      </c>
      <c r="D5" s="5" t="s">
        <v>559</v>
      </c>
      <c r="E5" s="6">
        <v>6</v>
      </c>
      <c r="F5" s="6">
        <v>0</v>
      </c>
      <c r="G5" s="7">
        <f>IF(E5&gt;0,F5/E5,"n/a")</f>
        <v>0.0</v>
      </c>
      <c r="H5" s="6">
        <f>MAX(E5-F5,0)</f>
        <v>6</v>
      </c>
      <c r="I5" s="6">
        <f>MAX(F5-E5,0)</f>
        <v>0</v>
      </c>
      <c r="J5" s="7" t="s">
        <v>928</v>
      </c>
      <c r="K5" s="5" t="s">
        <v>100</v>
      </c>
      <c r="L5" s="14" t="s">
        <v>930</v>
      </c>
      <c r="M5" s="16" t="s">
        <v>19</v>
      </c>
      <c r="N5" s="17" t="s">
        <v>19</v>
      </c>
      <c r="O5" s="16" t="s">
        <v>919</v>
      </c>
      <c r="P5" s="16" t="s">
        <v>19</v>
      </c>
    </row>
    <row r="6" spans="1:16">
      <c r="A6" s="5" t="s">
        <v>67</v>
      </c>
      <c r="B6" s="5" t="s">
        <v>578</v>
      </c>
      <c r="C6" s="5" t="s">
        <v>578</v>
      </c>
      <c r="D6" s="5" t="s">
        <v>579</v>
      </c>
      <c r="E6" s="6">
        <v>5</v>
      </c>
      <c r="F6" s="6">
        <v>0</v>
      </c>
      <c r="G6" s="7">
        <f>IF(E6&gt;0,F6/E6,"n/a")</f>
        <v>0.0</v>
      </c>
      <c r="H6" s="6">
        <f>MAX(E6-F6,0)</f>
        <v>5</v>
      </c>
      <c r="I6" s="6">
        <f>MAX(F6-E6,0)</f>
        <v>0</v>
      </c>
      <c r="J6" s="7" t="s">
        <v>928</v>
      </c>
      <c r="K6" s="5" t="s">
        <v>100</v>
      </c>
      <c r="L6" s="14" t="s">
        <v>930</v>
      </c>
      <c r="M6" s="16" t="s">
        <v>19</v>
      </c>
      <c r="N6" s="17" t="s">
        <v>19</v>
      </c>
      <c r="O6" s="16" t="s">
        <v>919</v>
      </c>
      <c r="P6" s="16" t="s">
        <v>19</v>
      </c>
    </row>
    <row r="7" spans="1:16">
      <c r="A7" s="5" t="s">
        <v>67</v>
      </c>
      <c r="B7" s="5" t="s">
        <v>572</v>
      </c>
      <c r="C7" s="5" t="s">
        <v>572</v>
      </c>
      <c r="D7" s="5" t="s">
        <v>577</v>
      </c>
      <c r="E7" s="6">
        <v>2</v>
      </c>
      <c r="F7" s="6">
        <v>0</v>
      </c>
      <c r="G7" s="7">
        <f>IF(E7&gt;0,F7/E7,"n/a")</f>
        <v>0.0</v>
      </c>
      <c r="H7" s="6">
        <f>MAX(E7-F7,0)</f>
        <v>2</v>
      </c>
      <c r="I7" s="6">
        <f>MAX(F7-E7,0)</f>
        <v>0</v>
      </c>
      <c r="J7" s="7" t="s">
        <v>928</v>
      </c>
      <c r="K7" s="5" t="s">
        <v>100</v>
      </c>
      <c r="L7" s="14" t="s">
        <v>930</v>
      </c>
      <c r="M7" s="16" t="s">
        <v>19</v>
      </c>
      <c r="N7" s="17" t="s">
        <v>19</v>
      </c>
      <c r="O7" s="16" t="s">
        <v>919</v>
      </c>
      <c r="P7" s="16" t="s">
        <v>19</v>
      </c>
    </row>
    <row r="8" spans="1:16">
      <c r="A8" s="5" t="s">
        <v>26</v>
      </c>
      <c r="B8" s="5" t="s">
        <v>542</v>
      </c>
      <c r="C8" s="5" t="s">
        <v>557</v>
      </c>
      <c r="D8" s="5" t="s">
        <v>558</v>
      </c>
      <c r="E8" s="6">
        <v>66</v>
      </c>
      <c r="F8" s="6">
        <v>104</v>
      </c>
      <c r="G8" s="7">
        <f>IF(E8&gt;0,F8/E8,"n/a")</f>
        <v>1.5759999999999998</v>
      </c>
      <c r="H8" s="6">
        <f>MAX(E8-F8,0)</f>
        <v>0</v>
      </c>
      <c r="I8" s="6">
        <f>MAX(F8-E8,0)</f>
        <v>38</v>
      </c>
      <c r="J8" s="7">
        <v>0</v>
      </c>
      <c r="K8" s="5" t="s">
        <v>23</v>
      </c>
      <c r="L8" s="14" t="s">
        <v>921</v>
      </c>
      <c r="M8" s="16" t="s">
        <v>19</v>
      </c>
      <c r="N8" s="17" t="s">
        <v>19</v>
      </c>
      <c r="O8" s="16" t="s">
        <v>919</v>
      </c>
      <c r="P8" s="16" t="s">
        <v>19</v>
      </c>
    </row>
    <row r="9" spans="1:16">
      <c r="A9" s="5" t="s">
        <v>26</v>
      </c>
      <c r="B9" s="5" t="s">
        <v>518</v>
      </c>
      <c r="C9" s="5" t="s">
        <v>519</v>
      </c>
      <c r="D9" s="5" t="s">
        <v>520</v>
      </c>
      <c r="E9" s="6">
        <v>16</v>
      </c>
      <c r="F9" s="6">
        <v>32</v>
      </c>
      <c r="G9" s="7">
        <f>IF(E9&gt;0,F9/E9,"n/a")</f>
        <v>2.0</v>
      </c>
      <c r="H9" s="6">
        <f>MAX(E9-F9,0)</f>
        <v>0</v>
      </c>
      <c r="I9" s="6">
        <f>MAX(F9-E9,0)</f>
        <v>16</v>
      </c>
      <c r="J9" s="7" t="s">
        <v>928</v>
      </c>
      <c r="K9" s="5" t="s">
        <v>100</v>
      </c>
      <c r="L9" s="14" t="s">
        <v>921</v>
      </c>
      <c r="M9" s="16" t="s">
        <v>19</v>
      </c>
      <c r="N9" s="17" t="s">
        <v>19</v>
      </c>
      <c r="O9" s="16" t="s">
        <v>919</v>
      </c>
      <c r="P9" s="16" t="s">
        <v>19</v>
      </c>
    </row>
    <row r="10" spans="1:16">
      <c r="A10" s="5" t="s">
        <v>26</v>
      </c>
      <c r="B10" s="5" t="s">
        <v>542</v>
      </c>
      <c r="C10" s="5" t="s">
        <v>555</v>
      </c>
      <c r="D10" s="5" t="s">
        <v>556</v>
      </c>
      <c r="E10" s="6">
        <v>15</v>
      </c>
      <c r="F10" s="6">
        <v>24</v>
      </c>
      <c r="G10" s="7">
        <f>IF(E10&gt;0,F10/E10,"n/a")</f>
        <v>1.6</v>
      </c>
      <c r="H10" s="6">
        <f>MAX(E10-F10,0)</f>
        <v>0</v>
      </c>
      <c r="I10" s="6">
        <f>MAX(F10-E10,0)</f>
        <v>9</v>
      </c>
      <c r="J10" s="7" t="s">
        <v>928</v>
      </c>
      <c r="K10" s="5" t="s">
        <v>100</v>
      </c>
      <c r="L10" s="14" t="s">
        <v>921</v>
      </c>
      <c r="M10" s="16" t="s">
        <v>19</v>
      </c>
      <c r="N10" s="17" t="s">
        <v>19</v>
      </c>
      <c r="O10" s="16" t="s">
        <v>919</v>
      </c>
      <c r="P10" s="16" t="s">
        <v>19</v>
      </c>
    </row>
    <row r="11" spans="1:16">
      <c r="A11" s="5" t="s">
        <v>26</v>
      </c>
      <c r="B11" s="5" t="s">
        <v>542</v>
      </c>
      <c r="C11" s="5" t="s">
        <v>543</v>
      </c>
      <c r="D11" s="5" t="s">
        <v>544</v>
      </c>
      <c r="E11" s="6">
        <v>5</v>
      </c>
      <c r="F11" s="6">
        <v>8</v>
      </c>
      <c r="G11" s="7">
        <f>IF(E11&gt;0,F11/E11,"n/a")</f>
        <v>1.6</v>
      </c>
      <c r="H11" s="6">
        <f>MAX(E11-F11,0)</f>
        <v>0</v>
      </c>
      <c r="I11" s="6">
        <f>MAX(F11-E11,0)</f>
        <v>3</v>
      </c>
      <c r="J11" s="7" t="s">
        <v>928</v>
      </c>
      <c r="K11" s="5" t="s">
        <v>100</v>
      </c>
      <c r="L11" s="14" t="s">
        <v>921</v>
      </c>
      <c r="M11" s="16" t="s">
        <v>19</v>
      </c>
      <c r="N11" s="17" t="s">
        <v>19</v>
      </c>
      <c r="O11" s="16" t="s">
        <v>919</v>
      </c>
      <c r="P11" s="16" t="s">
        <v>19</v>
      </c>
    </row>
    <row r="12" spans="1:16">
      <c r="A12" s="5" t="s">
        <v>26</v>
      </c>
      <c r="B12" s="5" t="s">
        <v>518</v>
      </c>
      <c r="C12" s="5" t="s">
        <v>528</v>
      </c>
      <c r="D12" s="5" t="s">
        <v>529</v>
      </c>
      <c r="E12" s="6">
        <v>4</v>
      </c>
      <c r="F12" s="6">
        <v>6</v>
      </c>
      <c r="G12" s="7">
        <f>IF(E12&gt;0,F12/E12,"n/a")</f>
        <v>1.5</v>
      </c>
      <c r="H12" s="6">
        <f>MAX(E12-F12,0)</f>
        <v>0</v>
      </c>
      <c r="I12" s="6">
        <f>MAX(F12-E12,0)</f>
        <v>2</v>
      </c>
      <c r="J12" s="7">
        <v>0</v>
      </c>
      <c r="K12" s="5" t="s">
        <v>23</v>
      </c>
      <c r="L12" s="14" t="s">
        <v>921</v>
      </c>
      <c r="M12" s="16" t="s">
        <v>19</v>
      </c>
      <c r="N12" s="17" t="s">
        <v>19</v>
      </c>
      <c r="O12" s="16" t="s">
        <v>919</v>
      </c>
      <c r="P12" s="16" t="s">
        <v>19</v>
      </c>
    </row>
    <row r="13" spans="1:16">
      <c r="A13" s="5" t="s">
        <v>244</v>
      </c>
      <c r="B13" s="5" t="s">
        <v>542</v>
      </c>
      <c r="C13" s="5" t="s">
        <v>553</v>
      </c>
      <c r="D13" s="5" t="s">
        <v>554</v>
      </c>
      <c r="E13" s="6">
        <v>0</v>
      </c>
      <c r="F13" s="6">
        <v>2</v>
      </c>
      <c r="G13" s="7" t="str">
        <f>IF(E13&gt;0,F13/E13,"n/a")</f>
        <v>n/a</v>
      </c>
      <c r="H13" s="6">
        <f>MAX(E13-F13,0)</f>
        <v>0</v>
      </c>
      <c r="I13" s="6">
        <f>MAX(F13-E13,0)</f>
        <v>2</v>
      </c>
      <c r="J13" s="7" t="s">
        <v>928</v>
      </c>
      <c r="K13" s="5" t="s">
        <v>100</v>
      </c>
      <c r="L13" s="14" t="s">
        <v>929</v>
      </c>
      <c r="M13" s="16" t="s">
        <v>19</v>
      </c>
      <c r="N13" s="17" t="s">
        <v>19</v>
      </c>
      <c r="O13" s="16" t="s">
        <v>919</v>
      </c>
      <c r="P13" s="16" t="s">
        <v>19</v>
      </c>
    </row>
    <row r="14" spans="1:16">
      <c r="A14" s="5" t="s">
        <v>26</v>
      </c>
      <c r="B14" s="5" t="s">
        <v>582</v>
      </c>
      <c r="C14" s="5" t="s">
        <v>583</v>
      </c>
      <c r="D14" s="5" t="s">
        <v>584</v>
      </c>
      <c r="E14" s="6">
        <v>5</v>
      </c>
      <c r="F14" s="6">
        <v>6</v>
      </c>
      <c r="G14" s="7">
        <f>IF(E14&gt;0,F14/E14,"n/a")</f>
        <v>1.2</v>
      </c>
      <c r="H14" s="6">
        <f>MAX(E14-F14,0)</f>
        <v>0</v>
      </c>
      <c r="I14" s="6">
        <f>MAX(F14-E14,0)</f>
        <v>1</v>
      </c>
      <c r="J14" s="7">
        <v>0</v>
      </c>
      <c r="K14" s="5" t="s">
        <v>23</v>
      </c>
      <c r="L14" s="14" t="s">
        <v>921</v>
      </c>
      <c r="M14" s="16" t="s">
        <v>19</v>
      </c>
      <c r="N14" s="17" t="s">
        <v>19</v>
      </c>
      <c r="O14" s="16" t="s">
        <v>919</v>
      </c>
      <c r="P14" s="16" t="s">
        <v>19</v>
      </c>
    </row>
    <row r="15" spans="1:16">
      <c r="A15" s="5" t="s">
        <v>26</v>
      </c>
      <c r="B15" s="5" t="s">
        <v>582</v>
      </c>
      <c r="C15" s="5" t="s">
        <v>585</v>
      </c>
      <c r="D15" s="5" t="s">
        <v>586</v>
      </c>
      <c r="E15" s="6">
        <v>3</v>
      </c>
      <c r="F15" s="6">
        <v>4</v>
      </c>
      <c r="G15" s="7">
        <f>IF(E15&gt;0,F15/E15,"n/a")</f>
        <v>1.3330000000000002</v>
      </c>
      <c r="H15" s="6">
        <f>MAX(E15-F15,0)</f>
        <v>0</v>
      </c>
      <c r="I15" s="6">
        <f>MAX(F15-E15,0)</f>
        <v>1</v>
      </c>
      <c r="J15" s="7" t="s">
        <v>928</v>
      </c>
      <c r="K15" s="5" t="s">
        <v>100</v>
      </c>
      <c r="L15" s="14" t="s">
        <v>921</v>
      </c>
      <c r="M15" s="16" t="s">
        <v>19</v>
      </c>
      <c r="N15" s="17" t="s">
        <v>19</v>
      </c>
      <c r="O15" s="16" t="s">
        <v>919</v>
      </c>
      <c r="P15" s="16" t="s">
        <v>19</v>
      </c>
    </row>
    <row r="16" spans="1:16">
      <c r="A16" s="5" t="s">
        <v>45</v>
      </c>
      <c r="B16" s="5" t="s">
        <v>542</v>
      </c>
      <c r="C16" s="5" t="s">
        <v>551</v>
      </c>
      <c r="D16" s="5" t="s">
        <v>552</v>
      </c>
      <c r="E16" s="6">
        <v>7</v>
      </c>
      <c r="F16" s="6">
        <v>5</v>
      </c>
      <c r="G16" s="7">
        <f>IF(E16&gt;0,F16/E16,"n/a")</f>
        <v>0.7140000000000001</v>
      </c>
      <c r="H16" s="6">
        <f>MAX(E16-F16,0)</f>
        <v>2</v>
      </c>
      <c r="I16" s="6">
        <f>MAX(F16-E16,0)</f>
        <v>0</v>
      </c>
      <c r="J16" s="7">
        <v>0</v>
      </c>
      <c r="K16" s="5" t="s">
        <v>46</v>
      </c>
      <c r="L16" s="14" t="s">
        <v>923</v>
      </c>
      <c r="M16" s="16" t="s">
        <v>19</v>
      </c>
      <c r="N16" s="17" t="s">
        <v>19</v>
      </c>
      <c r="O16" s="16" t="s">
        <v>919</v>
      </c>
      <c r="P16" s="16" t="s">
        <v>19</v>
      </c>
    </row>
  </sheetData>
  <autoFilter ref="A4:P16"/>
  <conditionalFormatting sqref="A5:A16">
    <cfRule type="beginsWith" dxfId="0" priority="1" operator="beginsWith" text="P1">
      <formula>LEFT(A5,2)="P1"</formula>
    </cfRule>
    <cfRule type="beginsWith" dxfId="1" priority="2" operator="beginsWith" text="P2">
      <formula>LEFT(A5,2)="P2"</formula>
    </cfRule>
    <cfRule type="beginsWith" dxfId="2" priority="3" operator="beginsWith" text="P3">
      <formula>LEFT(A5,2)="P3"</formula>
    </cfRule>
    <cfRule type="beginsWith" dxfId="3" priority="4" operator="beginsWith" text="P4">
      <formula>LEFT(A5,2)="P4"</formula>
    </cfRule>
  </conditionalFormatting>
  <conditionalFormatting sqref="K5:K16">
    <cfRule type="beginsWith" dxfId="4" priority="5" operator="beginsWith" text="Persistent low">
      <formula>LEFT(K5,14)="Persistent low"</formula>
    </cfRule>
    <cfRule type="beginsWith" dxfId="5" priority="6" operator="beginsWith" text="Newly declined">
      <formula>LEFT(K5,14)="Newly declined"</formula>
    </cfRule>
    <cfRule type="beginsWith" dxfId="6" priority="7" operator="beginsWith" text="Recovered">
      <formula>LEFT(K5,9)="Recovered"</formula>
    </cfRule>
  </conditionalFormatting>
  <conditionalFormatting sqref="O5:O16">
    <cfRule type="cellIs" dxfId="7" priority="8" operator="equal">
      <formula>"Done"</formula>
    </cfRule>
  </conditionalFormatting>
  <dataValidations count="2">
    <dataValidation type="list" allowBlank="1" showInputMessage="1" showErrorMessage="1" sqref="O5:O16">
      <formula1>"Not started,In progress,Done,Verified – no issue"</formula1>
    </dataValidation>
    <dataValidation type="date" operator="greaterThanOrEqual" allowBlank="1" showInputMessage="1" showErrorMessage="1" error="Enter a date on or after 09-Oct-2026." sqref="N5:N16">
      <formula1>46304</formula1>
    </dataValidation>
  </dataValidations>
  <pageMargins left="0.7" right="0.7" top="0.75" bottom="0.7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5.7109375" customWidth="1"/>
    <col min="2" max="2" width="16.7109375" customWidth="1"/>
    <col min="3" max="3" width="24.7109375" customWidth="1"/>
    <col min="4" max="4" width="11.7109375" customWidth="1"/>
    <col min="5" max="6" width="10.7109375" customWidth="1"/>
    <col min="7" max="7" width="11.7109375" customWidth="1"/>
    <col min="8" max="9" width="10.7109375" customWidth="1"/>
    <col min="10" max="10" width="11.7109375" customWidth="1"/>
    <col min="11" max="12" width="10.7109375" customWidth="1"/>
    <col min="13" max="13" width="24.7109375" customWidth="1"/>
  </cols>
  <sheetData>
    <row r="1" spans="1:13">
      <c r="A1" s="1" t="s">
        <v>974</v>
      </c>
    </row>
    <row r="2" spans="1:13">
      <c r="A2" s="2" t="s">
        <v>975</v>
      </c>
    </row>
    <row r="4" spans="1:13" ht="32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10</v>
      </c>
      <c r="F4" s="3" t="s">
        <v>11</v>
      </c>
      <c r="G4" s="3" t="s">
        <v>12</v>
      </c>
      <c r="H4" s="3" t="s">
        <v>976</v>
      </c>
      <c r="I4" s="3" t="s">
        <v>977</v>
      </c>
      <c r="J4" s="3" t="s">
        <v>978</v>
      </c>
      <c r="K4" s="3" t="s">
        <v>13</v>
      </c>
      <c r="L4" s="3" t="s">
        <v>911</v>
      </c>
      <c r="M4" s="3" t="s">
        <v>979</v>
      </c>
    </row>
    <row r="5" spans="1:13">
      <c r="A5" s="5" t="s">
        <v>587</v>
      </c>
      <c r="B5" s="5" t="s">
        <v>699</v>
      </c>
      <c r="C5" s="5" t="s">
        <v>760</v>
      </c>
      <c r="D5" s="5" t="s">
        <v>761</v>
      </c>
      <c r="E5" s="6">
        <v>301</v>
      </c>
      <c r="F5" s="6">
        <v>26</v>
      </c>
      <c r="G5" s="7">
        <f>F5/E5</f>
        <v>0.086</v>
      </c>
      <c r="H5" s="6">
        <v>353</v>
      </c>
      <c r="I5" s="6">
        <v>0</v>
      </c>
      <c r="J5" s="7">
        <f>I5/H5</f>
        <v>0.0</v>
      </c>
      <c r="K5" s="8">
        <f>(J5-G5)*100</f>
        <v>-8.6</v>
      </c>
      <c r="L5" s="6">
        <f>MAX(H5-I5,0)</f>
        <v>353</v>
      </c>
      <c r="M5" s="5" t="s">
        <v>67</v>
      </c>
    </row>
    <row r="6" spans="1:13">
      <c r="A6" s="5" t="s">
        <v>587</v>
      </c>
      <c r="B6" s="5" t="s">
        <v>871</v>
      </c>
      <c r="C6" s="5" t="s">
        <v>890</v>
      </c>
      <c r="D6" s="5" t="s">
        <v>891</v>
      </c>
      <c r="E6" s="6">
        <v>121</v>
      </c>
      <c r="F6" s="6">
        <v>47</v>
      </c>
      <c r="G6" s="7">
        <f>F6/E6</f>
        <v>0.38799999999999996</v>
      </c>
      <c r="H6" s="6">
        <v>144</v>
      </c>
      <c r="I6" s="6">
        <v>0</v>
      </c>
      <c r="J6" s="7">
        <f>I6/H6</f>
        <v>0.0</v>
      </c>
      <c r="K6" s="8">
        <f>(J6-G6)*100</f>
        <v>-38.8</v>
      </c>
      <c r="L6" s="6">
        <f>MAX(H6-I6,0)</f>
        <v>144</v>
      </c>
      <c r="M6" s="5" t="s">
        <v>67</v>
      </c>
    </row>
    <row r="7" spans="1:13">
      <c r="A7" s="5" t="s">
        <v>587</v>
      </c>
      <c r="B7" s="5" t="s">
        <v>778</v>
      </c>
      <c r="C7" s="5" t="s">
        <v>790</v>
      </c>
      <c r="D7" s="5" t="s">
        <v>791</v>
      </c>
      <c r="E7" s="6">
        <v>206</v>
      </c>
      <c r="F7" s="6">
        <v>66</v>
      </c>
      <c r="G7" s="7">
        <f>F7/E7</f>
        <v>0.32</v>
      </c>
      <c r="H7" s="6">
        <v>277</v>
      </c>
      <c r="I7" s="6">
        <v>146</v>
      </c>
      <c r="J7" s="7">
        <f>I7/H7</f>
        <v>0.527</v>
      </c>
      <c r="K7" s="8">
        <f>(J7-G7)*100</f>
        <v>20.7</v>
      </c>
      <c r="L7" s="6">
        <f>MAX(H7-I7,0)</f>
        <v>131</v>
      </c>
      <c r="M7" s="5" t="s">
        <v>45</v>
      </c>
    </row>
    <row r="8" spans="1:13">
      <c r="A8" s="5" t="s">
        <v>587</v>
      </c>
      <c r="B8" s="5" t="s">
        <v>699</v>
      </c>
      <c r="C8" s="5" t="s">
        <v>762</v>
      </c>
      <c r="D8" s="5" t="s">
        <v>763</v>
      </c>
      <c r="E8" s="6">
        <v>90</v>
      </c>
      <c r="F8" s="6">
        <v>36</v>
      </c>
      <c r="G8" s="7">
        <f>F8/E8</f>
        <v>0.4</v>
      </c>
      <c r="H8" s="6">
        <v>109</v>
      </c>
      <c r="I8" s="6">
        <v>0</v>
      </c>
      <c r="J8" s="7">
        <f>I8/H8</f>
        <v>0.0</v>
      </c>
      <c r="K8" s="8">
        <f>(J8-G8)*100</f>
        <v>-40.0</v>
      </c>
      <c r="L8" s="6">
        <f>MAX(H8-I8,0)</f>
        <v>109</v>
      </c>
      <c r="M8" s="5" t="s">
        <v>67</v>
      </c>
    </row>
    <row r="9" spans="1:13">
      <c r="A9" s="5" t="s">
        <v>587</v>
      </c>
      <c r="B9" s="5" t="s">
        <v>778</v>
      </c>
      <c r="C9" s="5" t="s">
        <v>788</v>
      </c>
      <c r="D9" s="5" t="s">
        <v>789</v>
      </c>
      <c r="E9" s="6">
        <v>211</v>
      </c>
      <c r="F9" s="6">
        <v>95</v>
      </c>
      <c r="G9" s="7">
        <f>F9/E9</f>
        <v>0.45</v>
      </c>
      <c r="H9" s="6">
        <v>298</v>
      </c>
      <c r="I9" s="6">
        <v>189</v>
      </c>
      <c r="J9" s="7">
        <f>I9/H9</f>
        <v>0.634</v>
      </c>
      <c r="K9" s="8">
        <f>(J9-G9)*100</f>
        <v>18.4</v>
      </c>
      <c r="L9" s="6">
        <f>MAX(H9-I9,0)</f>
        <v>109</v>
      </c>
      <c r="M9" s="5" t="s">
        <v>45</v>
      </c>
    </row>
    <row r="10" spans="1:13">
      <c r="A10" s="5" t="s">
        <v>15</v>
      </c>
      <c r="B10" s="5" t="s">
        <v>83</v>
      </c>
      <c r="C10" s="5" t="s">
        <v>88</v>
      </c>
      <c r="D10" s="5" t="s">
        <v>89</v>
      </c>
      <c r="E10" s="6">
        <v>23</v>
      </c>
      <c r="F10" s="6">
        <v>0</v>
      </c>
      <c r="G10" s="7">
        <f>F10/E10</f>
        <v>0.0</v>
      </c>
      <c r="H10" s="6">
        <v>89</v>
      </c>
      <c r="I10" s="6">
        <v>0</v>
      </c>
      <c r="J10" s="7">
        <f>I10/H10</f>
        <v>0.0</v>
      </c>
      <c r="K10" s="8">
        <f>(J10-G10)*100</f>
        <v>0.0</v>
      </c>
      <c r="L10" s="6">
        <f>MAX(H10-I10,0)</f>
        <v>89</v>
      </c>
      <c r="M10" s="5" t="s">
        <v>67</v>
      </c>
    </row>
    <row r="11" spans="1:13">
      <c r="A11" s="5" t="s">
        <v>587</v>
      </c>
      <c r="B11" s="5" t="s">
        <v>778</v>
      </c>
      <c r="C11" s="5" t="s">
        <v>792</v>
      </c>
      <c r="D11" s="5" t="s">
        <v>793</v>
      </c>
      <c r="E11" s="6">
        <v>172</v>
      </c>
      <c r="F11" s="6">
        <v>39</v>
      </c>
      <c r="G11" s="7">
        <f>F11/E11</f>
        <v>0.22699999999999998</v>
      </c>
      <c r="H11" s="6">
        <v>215</v>
      </c>
      <c r="I11" s="6">
        <v>151</v>
      </c>
      <c r="J11" s="7">
        <f>I11/H11</f>
        <v>0.7020000000000001</v>
      </c>
      <c r="K11" s="8">
        <f>(J11-G11)*100</f>
        <v>47.6</v>
      </c>
      <c r="L11" s="6">
        <f>MAX(H11-I11,0)</f>
        <v>64</v>
      </c>
      <c r="M11" s="5" t="s">
        <v>45</v>
      </c>
    </row>
    <row r="12" spans="1:13">
      <c r="A12" s="5" t="s">
        <v>587</v>
      </c>
      <c r="B12" s="5" t="s">
        <v>796</v>
      </c>
      <c r="C12" s="5" t="s">
        <v>816</v>
      </c>
      <c r="D12" s="5" t="s">
        <v>817</v>
      </c>
      <c r="E12" s="6">
        <v>110</v>
      </c>
      <c r="F12" s="6">
        <v>36</v>
      </c>
      <c r="G12" s="7">
        <f>F12/E12</f>
        <v>0.327</v>
      </c>
      <c r="H12" s="6">
        <v>140</v>
      </c>
      <c r="I12" s="6">
        <v>100</v>
      </c>
      <c r="J12" s="7">
        <f>I12/H12</f>
        <v>0.7140000000000001</v>
      </c>
      <c r="K12" s="8">
        <f>(J12-G12)*100</f>
        <v>38.7</v>
      </c>
      <c r="L12" s="6">
        <f>MAX(H12-I12,0)</f>
        <v>40</v>
      </c>
      <c r="M12" s="5" t="s">
        <v>45</v>
      </c>
    </row>
    <row r="13" spans="1:13">
      <c r="A13" s="5" t="s">
        <v>15</v>
      </c>
      <c r="B13" s="5" t="s">
        <v>15</v>
      </c>
      <c r="C13" s="5" t="s">
        <v>43</v>
      </c>
      <c r="D13" s="5" t="s">
        <v>44</v>
      </c>
      <c r="E13" s="6">
        <v>78</v>
      </c>
      <c r="F13" s="6">
        <v>0</v>
      </c>
      <c r="G13" s="7">
        <f>F13/E13</f>
        <v>0.0</v>
      </c>
      <c r="H13" s="6">
        <v>144</v>
      </c>
      <c r="I13" s="6">
        <v>114</v>
      </c>
      <c r="J13" s="7">
        <f>I13/H13</f>
        <v>0.792</v>
      </c>
      <c r="K13" s="8">
        <f>(J13-G13)*100</f>
        <v>79.2</v>
      </c>
      <c r="L13" s="6">
        <f>MAX(H13-I13,0)</f>
        <v>30</v>
      </c>
      <c r="M13" s="5" t="s">
        <v>45</v>
      </c>
    </row>
    <row r="14" spans="1:13">
      <c r="A14" s="5" t="s">
        <v>283</v>
      </c>
      <c r="B14" s="5" t="s">
        <v>294</v>
      </c>
      <c r="C14" s="5" t="s">
        <v>305</v>
      </c>
      <c r="D14" s="5" t="s">
        <v>306</v>
      </c>
      <c r="E14" s="6">
        <v>62</v>
      </c>
      <c r="F14" s="6">
        <v>33</v>
      </c>
      <c r="G14" s="7">
        <f>F14/E14</f>
        <v>0.532</v>
      </c>
      <c r="H14" s="6">
        <v>72</v>
      </c>
      <c r="I14" s="6">
        <v>49</v>
      </c>
      <c r="J14" s="7">
        <f>I14/H14</f>
        <v>0.6809999999999999</v>
      </c>
      <c r="K14" s="8">
        <f>(J14-G14)*100</f>
        <v>14.8</v>
      </c>
      <c r="L14" s="6">
        <f>MAX(H14-I14,0)</f>
        <v>23</v>
      </c>
      <c r="M14" s="5" t="s">
        <v>45</v>
      </c>
    </row>
    <row r="15" spans="1:13">
      <c r="A15" s="5" t="s">
        <v>15</v>
      </c>
      <c r="B15" s="5" t="s">
        <v>15</v>
      </c>
      <c r="C15" s="5" t="s">
        <v>55</v>
      </c>
      <c r="D15" s="5" t="s">
        <v>56</v>
      </c>
      <c r="E15" s="6">
        <v>55</v>
      </c>
      <c r="F15" s="6">
        <v>28</v>
      </c>
      <c r="G15" s="7">
        <f>F15/E15</f>
        <v>0.509</v>
      </c>
      <c r="H15" s="6">
        <v>60</v>
      </c>
      <c r="I15" s="6">
        <v>39</v>
      </c>
      <c r="J15" s="7">
        <f>I15/H15</f>
        <v>0.65</v>
      </c>
      <c r="K15" s="8">
        <f>(J15-G15)*100</f>
        <v>14.1</v>
      </c>
      <c r="L15" s="6">
        <f>MAX(H15-I15,0)</f>
        <v>21</v>
      </c>
      <c r="M15" s="5" t="s">
        <v>45</v>
      </c>
    </row>
    <row r="16" spans="1:13">
      <c r="A16" s="5" t="s">
        <v>15</v>
      </c>
      <c r="B16" s="5" t="s">
        <v>15</v>
      </c>
      <c r="C16" s="5" t="s">
        <v>63</v>
      </c>
      <c r="D16" s="5" t="s">
        <v>64</v>
      </c>
      <c r="E16" s="6">
        <v>28</v>
      </c>
      <c r="F16" s="6">
        <v>15</v>
      </c>
      <c r="G16" s="7">
        <f>F16/E16</f>
        <v>0.536</v>
      </c>
      <c r="H16" s="6">
        <v>52</v>
      </c>
      <c r="I16" s="6">
        <v>31</v>
      </c>
      <c r="J16" s="7">
        <f>I16/H16</f>
        <v>0.596</v>
      </c>
      <c r="K16" s="8">
        <f>(J16-G16)*100</f>
        <v>6.0</v>
      </c>
      <c r="L16" s="6">
        <f>MAX(H16-I16,0)</f>
        <v>21</v>
      </c>
      <c r="M16" s="5" t="s">
        <v>45</v>
      </c>
    </row>
    <row r="17" spans="1:13">
      <c r="A17" s="5" t="s">
        <v>587</v>
      </c>
      <c r="B17" s="5" t="s">
        <v>826</v>
      </c>
      <c r="C17" s="5" t="s">
        <v>839</v>
      </c>
      <c r="D17" s="5" t="s">
        <v>840</v>
      </c>
      <c r="E17" s="6">
        <v>83</v>
      </c>
      <c r="F17" s="6">
        <v>27</v>
      </c>
      <c r="G17" s="7">
        <f>F17/E17</f>
        <v>0.325</v>
      </c>
      <c r="H17" s="6">
        <v>70</v>
      </c>
      <c r="I17" s="6">
        <v>51</v>
      </c>
      <c r="J17" s="7">
        <f>I17/H17</f>
        <v>0.7290000000000001</v>
      </c>
      <c r="K17" s="8">
        <f>(J17-G17)*100</f>
        <v>40.3</v>
      </c>
      <c r="L17" s="6">
        <f>MAX(H17-I17,0)</f>
        <v>19</v>
      </c>
      <c r="M17" s="5" t="s">
        <v>45</v>
      </c>
    </row>
    <row r="18" spans="1:13">
      <c r="A18" s="5" t="s">
        <v>15</v>
      </c>
      <c r="B18" s="5" t="s">
        <v>133</v>
      </c>
      <c r="C18" s="5" t="s">
        <v>142</v>
      </c>
      <c r="D18" s="5" t="s">
        <v>143</v>
      </c>
      <c r="E18" s="6">
        <v>16</v>
      </c>
      <c r="F18" s="6">
        <v>0</v>
      </c>
      <c r="G18" s="7">
        <f>F18/E18</f>
        <v>0.0</v>
      </c>
      <c r="H18" s="6">
        <v>48</v>
      </c>
      <c r="I18" s="6">
        <v>32</v>
      </c>
      <c r="J18" s="7">
        <f>I18/H18</f>
        <v>0.667</v>
      </c>
      <c r="K18" s="8">
        <f>(J18-G18)*100</f>
        <v>66.7</v>
      </c>
      <c r="L18" s="6">
        <f>MAX(H18-I18,0)</f>
        <v>16</v>
      </c>
      <c r="M18" s="5" t="s">
        <v>45</v>
      </c>
    </row>
    <row r="19" spans="1:13">
      <c r="A19" s="5" t="s">
        <v>587</v>
      </c>
      <c r="B19" s="5" t="s">
        <v>699</v>
      </c>
      <c r="C19" s="5" t="s">
        <v>764</v>
      </c>
      <c r="D19" s="5" t="s">
        <v>765</v>
      </c>
      <c r="E19" s="6">
        <v>31</v>
      </c>
      <c r="F19" s="6">
        <v>16</v>
      </c>
      <c r="G19" s="7">
        <f>F19/E19</f>
        <v>0.516</v>
      </c>
      <c r="H19" s="6">
        <v>37</v>
      </c>
      <c r="I19" s="6">
        <v>21</v>
      </c>
      <c r="J19" s="7">
        <f>I19/H19</f>
        <v>0.568</v>
      </c>
      <c r="K19" s="8">
        <f>(J19-G19)*100</f>
        <v>5.1</v>
      </c>
      <c r="L19" s="6">
        <f>MAX(H19-I19,0)</f>
        <v>16</v>
      </c>
      <c r="M19" s="5" t="s">
        <v>45</v>
      </c>
    </row>
    <row r="20" spans="1:13">
      <c r="A20" s="5" t="s">
        <v>283</v>
      </c>
      <c r="B20" s="5" t="s">
        <v>294</v>
      </c>
      <c r="C20" s="5" t="s">
        <v>297</v>
      </c>
      <c r="D20" s="5" t="s">
        <v>298</v>
      </c>
      <c r="E20" s="6">
        <v>24</v>
      </c>
      <c r="F20" s="6">
        <v>8</v>
      </c>
      <c r="G20" s="7">
        <f>F20/E20</f>
        <v>0.33299999999999996</v>
      </c>
      <c r="H20" s="6">
        <v>22</v>
      </c>
      <c r="I20" s="6">
        <v>10</v>
      </c>
      <c r="J20" s="7">
        <f>I20/H20</f>
        <v>0.455</v>
      </c>
      <c r="K20" s="8">
        <f>(J20-G20)*100</f>
        <v>12.1</v>
      </c>
      <c r="L20" s="6">
        <f>MAX(H20-I20,0)</f>
        <v>12</v>
      </c>
      <c r="M20" s="5" t="s">
        <v>232</v>
      </c>
    </row>
    <row r="21" spans="1:13">
      <c r="A21" s="5" t="s">
        <v>283</v>
      </c>
      <c r="B21" s="5" t="s">
        <v>294</v>
      </c>
      <c r="C21" s="5" t="s">
        <v>299</v>
      </c>
      <c r="D21" s="5" t="s">
        <v>300</v>
      </c>
      <c r="E21" s="6">
        <v>33</v>
      </c>
      <c r="F21" s="6">
        <v>15</v>
      </c>
      <c r="G21" s="7">
        <f>F21/E21</f>
        <v>0.455</v>
      </c>
      <c r="H21" s="6">
        <v>57</v>
      </c>
      <c r="I21" s="6">
        <v>45</v>
      </c>
      <c r="J21" s="7">
        <f>I21/H21</f>
        <v>0.789</v>
      </c>
      <c r="K21" s="8">
        <f>(J21-G21)*100</f>
        <v>33.5</v>
      </c>
      <c r="L21" s="6">
        <f>MAX(H21-I21,0)</f>
        <v>12</v>
      </c>
      <c r="M21" s="5" t="s">
        <v>45</v>
      </c>
    </row>
    <row r="22" spans="1:13">
      <c r="A22" s="5" t="s">
        <v>440</v>
      </c>
      <c r="B22" s="5" t="s">
        <v>486</v>
      </c>
      <c r="C22" s="5" t="s">
        <v>505</v>
      </c>
      <c r="D22" s="5" t="s">
        <v>506</v>
      </c>
      <c r="E22" s="6">
        <v>18</v>
      </c>
      <c r="F22" s="6">
        <v>0</v>
      </c>
      <c r="G22" s="7">
        <f>F22/E22</f>
        <v>0.0</v>
      </c>
      <c r="H22" s="6">
        <v>24</v>
      </c>
      <c r="I22" s="6">
        <v>14</v>
      </c>
      <c r="J22" s="7">
        <f>I22/H22</f>
        <v>0.583</v>
      </c>
      <c r="K22" s="8">
        <f>(J22-G22)*100</f>
        <v>58.3</v>
      </c>
      <c r="L22" s="6">
        <f>MAX(H22-I22,0)</f>
        <v>10</v>
      </c>
      <c r="M22" s="5" t="s">
        <v>45</v>
      </c>
    </row>
    <row r="23" spans="1:13">
      <c r="A23" s="5" t="s">
        <v>440</v>
      </c>
      <c r="B23" s="5" t="s">
        <v>441</v>
      </c>
      <c r="C23" s="5" t="s">
        <v>448</v>
      </c>
      <c r="D23" s="5" t="s">
        <v>449</v>
      </c>
      <c r="E23" s="6">
        <v>14</v>
      </c>
      <c r="F23" s="6">
        <v>8</v>
      </c>
      <c r="G23" s="7">
        <f>F23/E23</f>
        <v>0.5710000000000001</v>
      </c>
      <c r="H23" s="6">
        <v>4</v>
      </c>
      <c r="I23" s="6">
        <v>0</v>
      </c>
      <c r="J23" s="7">
        <f>I23/H23</f>
        <v>0.0</v>
      </c>
      <c r="K23" s="8">
        <f>(J23-G23)*100</f>
        <v>-57.1</v>
      </c>
      <c r="L23" s="6">
        <f>MAX(H23-I23,0)</f>
        <v>4</v>
      </c>
      <c r="M23" s="5" t="s">
        <v>67</v>
      </c>
    </row>
    <row r="24" spans="1:13">
      <c r="A24" s="5" t="s">
        <v>517</v>
      </c>
      <c r="B24" s="5" t="s">
        <v>542</v>
      </c>
      <c r="C24" s="5" t="s">
        <v>551</v>
      </c>
      <c r="D24" s="5" t="s">
        <v>552</v>
      </c>
      <c r="E24" s="6">
        <v>4</v>
      </c>
      <c r="F24" s="6">
        <v>0</v>
      </c>
      <c r="G24" s="7">
        <f>F24/E24</f>
        <v>0.0</v>
      </c>
      <c r="H24" s="6">
        <v>7</v>
      </c>
      <c r="I24" s="6">
        <v>5</v>
      </c>
      <c r="J24" s="7">
        <f>I24/H24</f>
        <v>0.7140000000000001</v>
      </c>
      <c r="K24" s="8">
        <f>(J24-G24)*100</f>
        <v>71.4</v>
      </c>
      <c r="L24" s="6">
        <f>MAX(H24-I24,0)</f>
        <v>2</v>
      </c>
      <c r="M24" s="5" t="s">
        <v>45</v>
      </c>
    </row>
  </sheetData>
  <autoFilter ref="A4:M24"/>
  <conditionalFormatting sqref="M5:M24">
    <cfRule type="beginsWith" dxfId="0" priority="1" operator="beginsWith" text="P1">
      <formula>LEFT(M5,2)="P1"</formula>
    </cfRule>
    <cfRule type="beginsWith" dxfId="1" priority="2" operator="beginsWith" text="P2">
      <formula>LEFT(M5,2)="P2"</formula>
    </cfRule>
    <cfRule type="beginsWith" dxfId="2" priority="3" operator="beginsWith" text="P3">
      <formula>LEFT(M5,2)="P3"</formula>
    </cfRule>
    <cfRule type="beginsWith" dxfId="3" priority="4" operator="beginsWith" text="P4">
      <formula>LEFT(M5,2)="P4"</formula>
    </cfRule>
  </conditionalFormatting>
  <pageMargins left="0.7" right="0.7" top="0.75" bottom="0.7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4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5.7109375" customWidth="1"/>
    <col min="3" max="3" width="16.7109375" customWidth="1"/>
    <col min="4" max="4" width="24.7109375" customWidth="1"/>
    <col min="5" max="7" width="11.7109375" customWidth="1"/>
    <col min="8" max="8" width="12.7109375" customWidth="1"/>
    <col min="9" max="9" width="10.7109375" customWidth="1"/>
    <col min="10" max="10" width="28.7109375" customWidth="1"/>
    <col min="11" max="12" width="11.7109375" customWidth="1"/>
    <col min="13" max="13" width="12.7109375" customWidth="1"/>
    <col min="14" max="14" width="11.7109375" customWidth="1"/>
    <col min="15" max="15" width="20.7109375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5" t="s">
        <v>15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77</v>
      </c>
      <c r="G2" s="6">
        <v>77</v>
      </c>
      <c r="H2" s="7">
        <f>IF(F2&gt;0,G2/F2,"n/a")</f>
        <v>1.0</v>
      </c>
      <c r="I2" s="6">
        <v>0</v>
      </c>
      <c r="J2" s="5" t="s">
        <v>19</v>
      </c>
      <c r="K2" s="6">
        <v>72</v>
      </c>
      <c r="L2" s="6">
        <v>72</v>
      </c>
      <c r="M2" s="7">
        <f>IF(K2&gt;0,L2/K2,"n/a")</f>
        <v>1.0</v>
      </c>
      <c r="N2" s="8">
        <f>IF(AND(F2&gt;0,K2&gt;0),(H2-M2)*100,"n/a")</f>
        <v>0.0</v>
      </c>
      <c r="O2" s="5" t="s">
        <v>20</v>
      </c>
    </row>
    <row r="3" spans="1:15">
      <c r="A3" s="5" t="s">
        <v>15</v>
      </c>
      <c r="B3" s="5" t="s">
        <v>15</v>
      </c>
      <c r="C3" s="5" t="s">
        <v>16</v>
      </c>
      <c r="D3" s="5" t="s">
        <v>21</v>
      </c>
      <c r="E3" s="5" t="s">
        <v>22</v>
      </c>
      <c r="F3" s="6">
        <v>61</v>
      </c>
      <c r="G3" s="6">
        <v>61</v>
      </c>
      <c r="H3" s="7">
        <f>IF(F3&gt;0,G3/F3,"n/a")</f>
        <v>1.0</v>
      </c>
      <c r="I3" s="6">
        <v>0</v>
      </c>
      <c r="J3" s="5" t="s">
        <v>19</v>
      </c>
      <c r="K3" s="6">
        <v>21</v>
      </c>
      <c r="L3" s="6">
        <v>15</v>
      </c>
      <c r="M3" s="7">
        <f>IF(K3&gt;0,L3/K3,"n/a")</f>
        <v>0.7140000000000001</v>
      </c>
      <c r="N3" s="8">
        <f>IF(AND(F3&gt;0,K3&gt;0),(H3-M3)*100,"n/a")</f>
        <v>28.6</v>
      </c>
      <c r="O3" s="5" t="s">
        <v>23</v>
      </c>
    </row>
    <row r="4" spans="1:15">
      <c r="A4" s="5" t="s">
        <v>15</v>
      </c>
      <c r="B4" s="5" t="s">
        <v>15</v>
      </c>
      <c r="C4" s="5" t="s">
        <v>16</v>
      </c>
      <c r="D4" s="5" t="s">
        <v>24</v>
      </c>
      <c r="E4" s="5" t="s">
        <v>25</v>
      </c>
      <c r="F4" s="6">
        <v>77</v>
      </c>
      <c r="G4" s="6">
        <v>110</v>
      </c>
      <c r="H4" s="7">
        <f>IF(F4&gt;0,G4/F4,"n/a")</f>
        <v>1.429</v>
      </c>
      <c r="I4" s="6">
        <v>0</v>
      </c>
      <c r="J4" s="5" t="s">
        <v>26</v>
      </c>
      <c r="K4" s="6">
        <v>88</v>
      </c>
      <c r="L4" s="6">
        <v>89</v>
      </c>
      <c r="M4" s="7">
        <f>IF(K4&gt;0,L4/K4,"n/a")</f>
        <v>1.011</v>
      </c>
      <c r="N4" s="8">
        <f>IF(AND(F4&gt;0,K4&gt;0),(H4-M4)*100,"n/a")</f>
        <v>41.7</v>
      </c>
      <c r="O4" s="5" t="s">
        <v>20</v>
      </c>
    </row>
    <row r="5" spans="1:15">
      <c r="A5" s="5" t="s">
        <v>15</v>
      </c>
      <c r="B5" s="5" t="s">
        <v>15</v>
      </c>
      <c r="C5" s="5" t="s">
        <v>16</v>
      </c>
      <c r="D5" s="5" t="s">
        <v>27</v>
      </c>
      <c r="E5" s="5" t="s">
        <v>28</v>
      </c>
      <c r="F5" s="6">
        <v>10</v>
      </c>
      <c r="G5" s="6">
        <v>22</v>
      </c>
      <c r="H5" s="7">
        <f>IF(F5&gt;0,G5/F5,"n/a")</f>
        <v>2.2</v>
      </c>
      <c r="I5" s="6">
        <v>0</v>
      </c>
      <c r="J5" s="5" t="s">
        <v>26</v>
      </c>
      <c r="K5" s="6">
        <v>32</v>
      </c>
      <c r="L5" s="6">
        <v>0</v>
      </c>
      <c r="M5" s="7">
        <f>IF(K5&gt;0,L5/K5,"n/a")</f>
        <v>0.0</v>
      </c>
      <c r="N5" s="8">
        <f>IF(AND(F5&gt;0,K5&gt;0),(H5-M5)*100,"n/a")</f>
        <v>220.0</v>
      </c>
      <c r="O5" s="5" t="s">
        <v>23</v>
      </c>
    </row>
    <row r="6" spans="1:15">
      <c r="A6" s="5" t="s">
        <v>15</v>
      </c>
      <c r="B6" s="5" t="s">
        <v>15</v>
      </c>
      <c r="C6" s="5" t="s">
        <v>16</v>
      </c>
      <c r="D6" s="5" t="s">
        <v>29</v>
      </c>
      <c r="E6" s="5" t="s">
        <v>30</v>
      </c>
      <c r="F6" s="6">
        <v>26</v>
      </c>
      <c r="G6" s="6">
        <v>26</v>
      </c>
      <c r="H6" s="7">
        <f>IF(F6&gt;0,G6/F6,"n/a")</f>
        <v>1.0</v>
      </c>
      <c r="I6" s="6">
        <v>0</v>
      </c>
      <c r="J6" s="5" t="s">
        <v>19</v>
      </c>
      <c r="K6" s="6">
        <v>19</v>
      </c>
      <c r="L6" s="6">
        <v>19</v>
      </c>
      <c r="M6" s="7">
        <f>IF(K6&gt;0,L6/K6,"n/a")</f>
        <v>1.0</v>
      </c>
      <c r="N6" s="8">
        <f>IF(AND(F6&gt;0,K6&gt;0),(H6-M6)*100,"n/a")</f>
        <v>0.0</v>
      </c>
      <c r="O6" s="5" t="s">
        <v>20</v>
      </c>
    </row>
    <row r="7" spans="1:15">
      <c r="A7" s="5" t="s">
        <v>15</v>
      </c>
      <c r="B7" s="5" t="s">
        <v>15</v>
      </c>
      <c r="C7" s="5" t="s">
        <v>16</v>
      </c>
      <c r="D7" s="5" t="s">
        <v>31</v>
      </c>
      <c r="E7" s="5" t="s">
        <v>32</v>
      </c>
      <c r="F7" s="6">
        <v>39</v>
      </c>
      <c r="G7" s="6">
        <v>39</v>
      </c>
      <c r="H7" s="7">
        <f>IF(F7&gt;0,G7/F7,"n/a")</f>
        <v>1.0</v>
      </c>
      <c r="I7" s="6">
        <v>0</v>
      </c>
      <c r="J7" s="5" t="s">
        <v>19</v>
      </c>
      <c r="K7" s="6">
        <v>80</v>
      </c>
      <c r="L7" s="6">
        <v>0</v>
      </c>
      <c r="M7" s="7">
        <f>IF(K7&gt;0,L7/K7,"n/a")</f>
        <v>0.0</v>
      </c>
      <c r="N7" s="8">
        <f>IF(AND(F7&gt;0,K7&gt;0),(H7-M7)*100,"n/a")</f>
        <v>100.0</v>
      </c>
      <c r="O7" s="5" t="s">
        <v>23</v>
      </c>
    </row>
    <row r="8" spans="1:15">
      <c r="A8" s="5" t="s">
        <v>15</v>
      </c>
      <c r="B8" s="5" t="s">
        <v>15</v>
      </c>
      <c r="C8" s="5" t="s">
        <v>15</v>
      </c>
      <c r="D8" s="5" t="s">
        <v>33</v>
      </c>
      <c r="E8" s="5" t="s">
        <v>34</v>
      </c>
      <c r="F8" s="6">
        <v>33</v>
      </c>
      <c r="G8" s="6">
        <v>29</v>
      </c>
      <c r="H8" s="7">
        <f>IF(F8&gt;0,G8/F8,"n/a")</f>
        <v>0.879</v>
      </c>
      <c r="I8" s="6">
        <v>0</v>
      </c>
      <c r="J8" s="5" t="s">
        <v>19</v>
      </c>
      <c r="K8" s="6">
        <v>32</v>
      </c>
      <c r="L8" s="6">
        <v>32</v>
      </c>
      <c r="M8" s="7">
        <f>IF(K8&gt;0,L8/K8,"n/a")</f>
        <v>1.0</v>
      </c>
      <c r="N8" s="8">
        <f>IF(AND(F8&gt;0,K8&gt;0),(H8-M8)*100,"n/a")</f>
        <v>-12.1</v>
      </c>
      <c r="O8" s="5" t="s">
        <v>20</v>
      </c>
    </row>
    <row r="9" spans="1:15">
      <c r="A9" s="5" t="s">
        <v>15</v>
      </c>
      <c r="B9" s="5" t="s">
        <v>15</v>
      </c>
      <c r="C9" s="5" t="s">
        <v>15</v>
      </c>
      <c r="D9" s="5" t="s">
        <v>35</v>
      </c>
      <c r="E9" s="5" t="s">
        <v>36</v>
      </c>
      <c r="F9" s="6">
        <v>14</v>
      </c>
      <c r="G9" s="6">
        <v>14</v>
      </c>
      <c r="H9" s="7">
        <f>IF(F9&gt;0,G9/F9,"n/a")</f>
        <v>1.0</v>
      </c>
      <c r="I9" s="6">
        <v>0</v>
      </c>
      <c r="J9" s="5" t="s">
        <v>19</v>
      </c>
      <c r="K9" s="6">
        <v>15</v>
      </c>
      <c r="L9" s="6">
        <v>15</v>
      </c>
      <c r="M9" s="7">
        <f>IF(K9&gt;0,L9/K9,"n/a")</f>
        <v>1.0</v>
      </c>
      <c r="N9" s="8">
        <f>IF(AND(F9&gt;0,K9&gt;0),(H9-M9)*100,"n/a")</f>
        <v>0.0</v>
      </c>
      <c r="O9" s="5" t="s">
        <v>20</v>
      </c>
    </row>
    <row r="10" spans="1:15">
      <c r="A10" s="5" t="s">
        <v>15</v>
      </c>
      <c r="B10" s="5" t="s">
        <v>15</v>
      </c>
      <c r="C10" s="5" t="s">
        <v>15</v>
      </c>
      <c r="D10" s="5" t="s">
        <v>37</v>
      </c>
      <c r="E10" s="5" t="s">
        <v>38</v>
      </c>
      <c r="F10" s="6">
        <v>48</v>
      </c>
      <c r="G10" s="6">
        <v>48</v>
      </c>
      <c r="H10" s="7">
        <f>IF(F10&gt;0,G10/F10,"n/a")</f>
        <v>1.0</v>
      </c>
      <c r="I10" s="6">
        <v>0</v>
      </c>
      <c r="J10" s="5" t="s">
        <v>19</v>
      </c>
      <c r="K10" s="6">
        <v>24</v>
      </c>
      <c r="L10" s="6">
        <v>23</v>
      </c>
      <c r="M10" s="7">
        <f>IF(K10&gt;0,L10/K10,"n/a")</f>
        <v>0.958</v>
      </c>
      <c r="N10" s="8">
        <f>IF(AND(F10&gt;0,K10&gt;0),(H10-M10)*100,"n/a")</f>
        <v>4.2</v>
      </c>
      <c r="O10" s="5" t="s">
        <v>20</v>
      </c>
    </row>
    <row r="11" spans="1:15">
      <c r="A11" s="5" t="s">
        <v>15</v>
      </c>
      <c r="B11" s="5" t="s">
        <v>15</v>
      </c>
      <c r="C11" s="5" t="s">
        <v>15</v>
      </c>
      <c r="D11" s="5" t="s">
        <v>39</v>
      </c>
      <c r="E11" s="5" t="s">
        <v>40</v>
      </c>
      <c r="F11" s="6">
        <v>21</v>
      </c>
      <c r="G11" s="6">
        <v>23</v>
      </c>
      <c r="H11" s="7">
        <f>IF(F11&gt;0,G11/F11,"n/a")</f>
        <v>1.095</v>
      </c>
      <c r="I11" s="6">
        <v>0</v>
      </c>
      <c r="J11" s="5" t="s">
        <v>19</v>
      </c>
      <c r="K11" s="6">
        <v>20</v>
      </c>
      <c r="L11" s="6">
        <v>20</v>
      </c>
      <c r="M11" s="7">
        <f>IF(K11&gt;0,L11/K11,"n/a")</f>
        <v>1.0</v>
      </c>
      <c r="N11" s="8">
        <f>IF(AND(F11&gt;0,K11&gt;0),(H11-M11)*100,"n/a")</f>
        <v>9.5</v>
      </c>
      <c r="O11" s="5" t="s">
        <v>20</v>
      </c>
    </row>
    <row r="12" spans="1:15">
      <c r="A12" s="5" t="s">
        <v>15</v>
      </c>
      <c r="B12" s="5" t="s">
        <v>15</v>
      </c>
      <c r="C12" s="5" t="s">
        <v>15</v>
      </c>
      <c r="D12" s="5" t="s">
        <v>41</v>
      </c>
      <c r="E12" s="5" t="s">
        <v>42</v>
      </c>
      <c r="F12" s="6">
        <v>61</v>
      </c>
      <c r="G12" s="6">
        <v>69</v>
      </c>
      <c r="H12" s="7">
        <f>IF(F12&gt;0,G12/F12,"n/a")</f>
        <v>1.131</v>
      </c>
      <c r="I12" s="6">
        <v>0</v>
      </c>
      <c r="J12" s="5" t="s">
        <v>26</v>
      </c>
      <c r="K12" s="6">
        <v>47</v>
      </c>
      <c r="L12" s="6">
        <v>38</v>
      </c>
      <c r="M12" s="7">
        <f>IF(K12&gt;0,L12/K12,"n/a")</f>
        <v>0.809</v>
      </c>
      <c r="N12" s="8">
        <f>IF(AND(F12&gt;0,K12&gt;0),(H12-M12)*100,"n/a")</f>
        <v>32.3</v>
      </c>
      <c r="O12" s="5" t="s">
        <v>20</v>
      </c>
    </row>
    <row r="13" spans="1:15">
      <c r="A13" s="5" t="s">
        <v>15</v>
      </c>
      <c r="B13" s="5" t="s">
        <v>15</v>
      </c>
      <c r="C13" s="5" t="s">
        <v>15</v>
      </c>
      <c r="D13" s="5" t="s">
        <v>43</v>
      </c>
      <c r="E13" s="5" t="s">
        <v>44</v>
      </c>
      <c r="F13" s="6">
        <v>144</v>
      </c>
      <c r="G13" s="6">
        <v>114</v>
      </c>
      <c r="H13" s="7">
        <f>IF(F13&gt;0,G13/F13,"n/a")</f>
        <v>0.792</v>
      </c>
      <c r="I13" s="6">
        <v>0</v>
      </c>
      <c r="J13" s="5" t="s">
        <v>45</v>
      </c>
      <c r="K13" s="6">
        <v>78</v>
      </c>
      <c r="L13" s="6">
        <v>0</v>
      </c>
      <c r="M13" s="7">
        <f>IF(K13&gt;0,L13/K13,"n/a")</f>
        <v>0.0</v>
      </c>
      <c r="N13" s="8">
        <f>IF(AND(F13&gt;0,K13&gt;0),(H13-M13)*100,"n/a")</f>
        <v>79.2</v>
      </c>
      <c r="O13" s="5" t="s">
        <v>46</v>
      </c>
    </row>
    <row r="14" spans="1:15">
      <c r="A14" s="5" t="s">
        <v>15</v>
      </c>
      <c r="B14" s="5" t="s">
        <v>15</v>
      </c>
      <c r="C14" s="5" t="s">
        <v>15</v>
      </c>
      <c r="D14" s="5" t="s">
        <v>47</v>
      </c>
      <c r="E14" s="5" t="s">
        <v>48</v>
      </c>
      <c r="F14" s="6">
        <v>109</v>
      </c>
      <c r="G14" s="6">
        <v>95</v>
      </c>
      <c r="H14" s="7">
        <f>IF(F14&gt;0,G14/F14,"n/a")</f>
        <v>0.872</v>
      </c>
      <c r="I14" s="6">
        <v>0</v>
      </c>
      <c r="J14" s="5" t="s">
        <v>19</v>
      </c>
      <c r="K14" s="6">
        <v>52</v>
      </c>
      <c r="L14" s="6">
        <v>31</v>
      </c>
      <c r="M14" s="7">
        <f>IF(K14&gt;0,L14/K14,"n/a")</f>
        <v>0.596</v>
      </c>
      <c r="N14" s="8">
        <f>IF(AND(F14&gt;0,K14&gt;0),(H14-M14)*100,"n/a")</f>
        <v>27.5</v>
      </c>
      <c r="O14" s="5" t="s">
        <v>23</v>
      </c>
    </row>
    <row r="15" spans="1:15">
      <c r="A15" s="5" t="s">
        <v>15</v>
      </c>
      <c r="B15" s="5" t="s">
        <v>15</v>
      </c>
      <c r="C15" s="5" t="s">
        <v>15</v>
      </c>
      <c r="D15" s="5" t="s">
        <v>49</v>
      </c>
      <c r="E15" s="5" t="s">
        <v>50</v>
      </c>
      <c r="F15" s="6">
        <v>58</v>
      </c>
      <c r="G15" s="6">
        <v>49</v>
      </c>
      <c r="H15" s="7">
        <f>IF(F15&gt;0,G15/F15,"n/a")</f>
        <v>0.845</v>
      </c>
      <c r="I15" s="6">
        <v>0</v>
      </c>
      <c r="J15" s="5" t="s">
        <v>19</v>
      </c>
      <c r="K15" s="6">
        <v>26</v>
      </c>
      <c r="L15" s="6">
        <v>26</v>
      </c>
      <c r="M15" s="7">
        <f>IF(K15&gt;0,L15/K15,"n/a")</f>
        <v>1.0</v>
      </c>
      <c r="N15" s="8">
        <f>IF(AND(F15&gt;0,K15&gt;0),(H15-M15)*100,"n/a")</f>
        <v>-15.5</v>
      </c>
      <c r="O15" s="5" t="s">
        <v>20</v>
      </c>
    </row>
    <row r="16" spans="1:15">
      <c r="A16" s="5" t="s">
        <v>15</v>
      </c>
      <c r="B16" s="5" t="s">
        <v>15</v>
      </c>
      <c r="C16" s="5" t="s">
        <v>15</v>
      </c>
      <c r="D16" s="5" t="s">
        <v>51</v>
      </c>
      <c r="E16" s="5" t="s">
        <v>52</v>
      </c>
      <c r="F16" s="6">
        <v>59</v>
      </c>
      <c r="G16" s="6">
        <v>59</v>
      </c>
      <c r="H16" s="7">
        <f>IF(F16&gt;0,G16/F16,"n/a")</f>
        <v>1.0</v>
      </c>
      <c r="I16" s="6">
        <v>0</v>
      </c>
      <c r="J16" s="5" t="s">
        <v>19</v>
      </c>
      <c r="K16" s="6">
        <v>28</v>
      </c>
      <c r="L16" s="6">
        <v>28</v>
      </c>
      <c r="M16" s="7">
        <f>IF(K16&gt;0,L16/K16,"n/a")</f>
        <v>1.0</v>
      </c>
      <c r="N16" s="8">
        <f>IF(AND(F16&gt;0,K16&gt;0),(H16-M16)*100,"n/a")</f>
        <v>0.0</v>
      </c>
      <c r="O16" s="5" t="s">
        <v>20</v>
      </c>
    </row>
    <row r="17" spans="1:15">
      <c r="A17" s="5" t="s">
        <v>15</v>
      </c>
      <c r="B17" s="5" t="s">
        <v>15</v>
      </c>
      <c r="C17" s="5" t="s">
        <v>15</v>
      </c>
      <c r="D17" s="5" t="s">
        <v>53</v>
      </c>
      <c r="E17" s="5" t="s">
        <v>54</v>
      </c>
      <c r="F17" s="6">
        <v>140</v>
      </c>
      <c r="G17" s="6">
        <v>134</v>
      </c>
      <c r="H17" s="7">
        <f>IF(F17&gt;0,G17/F17,"n/a")</f>
        <v>0.9570000000000001</v>
      </c>
      <c r="I17" s="6">
        <v>0</v>
      </c>
      <c r="J17" s="5" t="s">
        <v>19</v>
      </c>
      <c r="K17" s="6">
        <v>56</v>
      </c>
      <c r="L17" s="6">
        <v>55</v>
      </c>
      <c r="M17" s="7">
        <f>IF(K17&gt;0,L17/K17,"n/a")</f>
        <v>0.982</v>
      </c>
      <c r="N17" s="8">
        <f>IF(AND(F17&gt;0,K17&gt;0),(H17-M17)*100,"n/a")</f>
        <v>-2.5</v>
      </c>
      <c r="O17" s="5" t="s">
        <v>20</v>
      </c>
    </row>
    <row r="18" spans="1:15">
      <c r="A18" s="5" t="s">
        <v>15</v>
      </c>
      <c r="B18" s="5" t="s">
        <v>15</v>
      </c>
      <c r="C18" s="5" t="s">
        <v>15</v>
      </c>
      <c r="D18" s="5" t="s">
        <v>55</v>
      </c>
      <c r="E18" s="5" t="s">
        <v>56</v>
      </c>
      <c r="F18" s="6">
        <v>60</v>
      </c>
      <c r="G18" s="6">
        <v>39</v>
      </c>
      <c r="H18" s="7">
        <f>IF(F18&gt;0,G18/F18,"n/a")</f>
        <v>0.65</v>
      </c>
      <c r="I18" s="6">
        <v>0</v>
      </c>
      <c r="J18" s="5" t="s">
        <v>45</v>
      </c>
      <c r="K18" s="6">
        <v>55</v>
      </c>
      <c r="L18" s="6">
        <v>28</v>
      </c>
      <c r="M18" s="7">
        <f>IF(K18&gt;0,L18/K18,"n/a")</f>
        <v>0.509</v>
      </c>
      <c r="N18" s="8">
        <f>IF(AND(F18&gt;0,K18&gt;0),(H18-M18)*100,"n/a")</f>
        <v>14.1</v>
      </c>
      <c r="O18" s="5" t="s">
        <v>46</v>
      </c>
    </row>
    <row r="19" spans="1:15">
      <c r="A19" s="5" t="s">
        <v>15</v>
      </c>
      <c r="B19" s="5" t="s">
        <v>15</v>
      </c>
      <c r="C19" s="5" t="s">
        <v>15</v>
      </c>
      <c r="D19" s="5" t="s">
        <v>57</v>
      </c>
      <c r="E19" s="5" t="s">
        <v>58</v>
      </c>
      <c r="F19" s="6">
        <v>97</v>
      </c>
      <c r="G19" s="6">
        <v>90</v>
      </c>
      <c r="H19" s="7">
        <f>IF(F19&gt;0,G19/F19,"n/a")</f>
        <v>0.9279999999999999</v>
      </c>
      <c r="I19" s="6">
        <v>0</v>
      </c>
      <c r="J19" s="5" t="s">
        <v>19</v>
      </c>
      <c r="K19" s="6">
        <v>33</v>
      </c>
      <c r="L19" s="6">
        <v>34</v>
      </c>
      <c r="M19" s="7">
        <f>IF(K19&gt;0,L19/K19,"n/a")</f>
        <v>1.03</v>
      </c>
      <c r="N19" s="8">
        <f>IF(AND(F19&gt;0,K19&gt;0),(H19-M19)*100,"n/a")</f>
        <v>-10.2</v>
      </c>
      <c r="O19" s="5" t="s">
        <v>20</v>
      </c>
    </row>
    <row r="20" spans="1:15">
      <c r="A20" s="5" t="s">
        <v>15</v>
      </c>
      <c r="B20" s="5" t="s">
        <v>15</v>
      </c>
      <c r="C20" s="5" t="s">
        <v>15</v>
      </c>
      <c r="D20" s="5" t="s">
        <v>59</v>
      </c>
      <c r="E20" s="5" t="s">
        <v>60</v>
      </c>
      <c r="F20" s="6">
        <v>102</v>
      </c>
      <c r="G20" s="6">
        <v>102</v>
      </c>
      <c r="H20" s="7">
        <f>IF(F20&gt;0,G20/F20,"n/a")</f>
        <v>1.0</v>
      </c>
      <c r="I20" s="6">
        <v>0</v>
      </c>
      <c r="J20" s="5" t="s">
        <v>19</v>
      </c>
      <c r="K20" s="6">
        <v>39</v>
      </c>
      <c r="L20" s="6">
        <v>45</v>
      </c>
      <c r="M20" s="7">
        <f>IF(K20&gt;0,L20/K20,"n/a")</f>
        <v>1.1540000000000001</v>
      </c>
      <c r="N20" s="8">
        <f>IF(AND(F20&gt;0,K20&gt;0),(H20-M20)*100,"n/a")</f>
        <v>-15.4</v>
      </c>
      <c r="O20" s="5" t="s">
        <v>20</v>
      </c>
    </row>
    <row r="21" spans="1:15">
      <c r="A21" s="5" t="s">
        <v>15</v>
      </c>
      <c r="B21" s="5" t="s">
        <v>15</v>
      </c>
      <c r="C21" s="5" t="s">
        <v>15</v>
      </c>
      <c r="D21" s="5" t="s">
        <v>61</v>
      </c>
      <c r="E21" s="5" t="s">
        <v>62</v>
      </c>
      <c r="F21" s="6">
        <v>77</v>
      </c>
      <c r="G21" s="6">
        <v>75</v>
      </c>
      <c r="H21" s="7">
        <f>IF(F21&gt;0,G21/F21,"n/a")</f>
        <v>0.9740000000000001</v>
      </c>
      <c r="I21" s="6">
        <v>0</v>
      </c>
      <c r="J21" s="5" t="s">
        <v>19</v>
      </c>
      <c r="K21" s="6">
        <v>39</v>
      </c>
      <c r="L21" s="6">
        <v>41</v>
      </c>
      <c r="M21" s="7">
        <f>IF(K21&gt;0,L21/K21,"n/a")</f>
        <v>1.051</v>
      </c>
      <c r="N21" s="8">
        <f>IF(AND(F21&gt;0,K21&gt;0),(H21-M21)*100,"n/a")</f>
        <v>-7.7</v>
      </c>
      <c r="O21" s="5" t="s">
        <v>20</v>
      </c>
    </row>
    <row r="22" spans="1:15">
      <c r="A22" s="5" t="s">
        <v>15</v>
      </c>
      <c r="B22" s="5" t="s">
        <v>15</v>
      </c>
      <c r="C22" s="5" t="s">
        <v>15</v>
      </c>
      <c r="D22" s="5" t="s">
        <v>63</v>
      </c>
      <c r="E22" s="5" t="s">
        <v>64</v>
      </c>
      <c r="F22" s="6">
        <v>52</v>
      </c>
      <c r="G22" s="6">
        <v>31</v>
      </c>
      <c r="H22" s="7">
        <f>IF(F22&gt;0,G22/F22,"n/a")</f>
        <v>0.596</v>
      </c>
      <c r="I22" s="6">
        <v>0</v>
      </c>
      <c r="J22" s="5" t="s">
        <v>45</v>
      </c>
      <c r="K22" s="6">
        <v>28</v>
      </c>
      <c r="L22" s="6">
        <v>15</v>
      </c>
      <c r="M22" s="7">
        <f>IF(K22&gt;0,L22/K22,"n/a")</f>
        <v>0.536</v>
      </c>
      <c r="N22" s="8">
        <f>IF(AND(F22&gt;0,K22&gt;0),(H22-M22)*100,"n/a")</f>
        <v>6.0</v>
      </c>
      <c r="O22" s="5" t="s">
        <v>46</v>
      </c>
    </row>
    <row r="23" spans="1:15">
      <c r="A23" s="5" t="s">
        <v>15</v>
      </c>
      <c r="B23" s="5" t="s">
        <v>15</v>
      </c>
      <c r="C23" s="5" t="s">
        <v>15</v>
      </c>
      <c r="D23" s="5" t="s">
        <v>65</v>
      </c>
      <c r="E23" s="5" t="s">
        <v>66</v>
      </c>
      <c r="F23" s="6">
        <v>120</v>
      </c>
      <c r="G23" s="6">
        <v>0</v>
      </c>
      <c r="H23" s="7">
        <f>IF(F23&gt;0,G23/F23,"n/a")</f>
        <v>0.0</v>
      </c>
      <c r="I23" s="6">
        <v>0</v>
      </c>
      <c r="J23" s="5" t="s">
        <v>67</v>
      </c>
      <c r="K23" s="6">
        <v>57</v>
      </c>
      <c r="L23" s="6">
        <v>57</v>
      </c>
      <c r="M23" s="7">
        <f>IF(K23&gt;0,L23/K23,"n/a")</f>
        <v>1.0</v>
      </c>
      <c r="N23" s="8">
        <f>IF(AND(F23&gt;0,K23&gt;0),(H23-M23)*100,"n/a")</f>
        <v>-100.0</v>
      </c>
      <c r="O23" s="5" t="s">
        <v>68</v>
      </c>
    </row>
    <row r="24" spans="1:15">
      <c r="A24" s="5" t="s">
        <v>15</v>
      </c>
      <c r="B24" s="5" t="s">
        <v>15</v>
      </c>
      <c r="C24" s="5" t="s">
        <v>15</v>
      </c>
      <c r="D24" s="5" t="s">
        <v>69</v>
      </c>
      <c r="E24" s="5" t="s">
        <v>70</v>
      </c>
      <c r="F24" s="6">
        <v>69</v>
      </c>
      <c r="G24" s="6">
        <v>69</v>
      </c>
      <c r="H24" s="7">
        <f>IF(F24&gt;0,G24/F24,"n/a")</f>
        <v>1.0</v>
      </c>
      <c r="I24" s="6">
        <v>0</v>
      </c>
      <c r="J24" s="5" t="s">
        <v>19</v>
      </c>
      <c r="K24" s="6">
        <v>48</v>
      </c>
      <c r="L24" s="6">
        <v>35</v>
      </c>
      <c r="M24" s="7">
        <f>IF(K24&gt;0,L24/K24,"n/a")</f>
        <v>0.7290000000000001</v>
      </c>
      <c r="N24" s="8">
        <f>IF(AND(F24&gt;0,K24&gt;0),(H24-M24)*100,"n/a")</f>
        <v>27.1</v>
      </c>
      <c r="O24" s="5" t="s">
        <v>23</v>
      </c>
    </row>
    <row r="25" spans="1:15">
      <c r="A25" s="5" t="s">
        <v>15</v>
      </c>
      <c r="B25" s="5" t="s">
        <v>15</v>
      </c>
      <c r="C25" s="5" t="s">
        <v>15</v>
      </c>
      <c r="D25" s="5" t="s">
        <v>71</v>
      </c>
      <c r="E25" s="5" t="s">
        <v>72</v>
      </c>
      <c r="F25" s="6">
        <v>65</v>
      </c>
      <c r="G25" s="6">
        <v>70</v>
      </c>
      <c r="H25" s="7">
        <f>IF(F25&gt;0,G25/F25,"n/a")</f>
        <v>1.077</v>
      </c>
      <c r="I25" s="6">
        <v>0</v>
      </c>
      <c r="J25" s="5" t="s">
        <v>19</v>
      </c>
      <c r="K25" s="6">
        <v>37</v>
      </c>
      <c r="L25" s="6">
        <v>38</v>
      </c>
      <c r="M25" s="7">
        <f>IF(K25&gt;0,L25/K25,"n/a")</f>
        <v>1.0270000000000001</v>
      </c>
      <c r="N25" s="8">
        <f>IF(AND(F25&gt;0,K25&gt;0),(H25-M25)*100,"n/a")</f>
        <v>5.0</v>
      </c>
      <c r="O25" s="5" t="s">
        <v>20</v>
      </c>
    </row>
    <row r="26" spans="1:15">
      <c r="A26" s="5" t="s">
        <v>15</v>
      </c>
      <c r="B26" s="5" t="s">
        <v>15</v>
      </c>
      <c r="C26" s="5" t="s">
        <v>15</v>
      </c>
      <c r="D26" s="5" t="s">
        <v>73</v>
      </c>
      <c r="E26" s="5" t="s">
        <v>74</v>
      </c>
      <c r="F26" s="6">
        <v>297</v>
      </c>
      <c r="G26" s="6">
        <v>292</v>
      </c>
      <c r="H26" s="7">
        <f>IF(F26&gt;0,G26/F26,"n/a")</f>
        <v>0.983</v>
      </c>
      <c r="I26" s="6">
        <v>0</v>
      </c>
      <c r="J26" s="5" t="s">
        <v>19</v>
      </c>
      <c r="K26" s="6">
        <v>110</v>
      </c>
      <c r="L26" s="6">
        <v>101</v>
      </c>
      <c r="M26" s="7">
        <f>IF(K26&gt;0,L26/K26,"n/a")</f>
        <v>0.9179999999999999</v>
      </c>
      <c r="N26" s="8">
        <f>IF(AND(F26&gt;0,K26&gt;0),(H26-M26)*100,"n/a")</f>
        <v>6.5</v>
      </c>
      <c r="O26" s="5" t="s">
        <v>20</v>
      </c>
    </row>
    <row r="27" spans="1:15">
      <c r="A27" s="5" t="s">
        <v>15</v>
      </c>
      <c r="B27" s="5" t="s">
        <v>15</v>
      </c>
      <c r="C27" s="5" t="s">
        <v>15</v>
      </c>
      <c r="D27" s="5" t="s">
        <v>75</v>
      </c>
      <c r="E27" s="5" t="s">
        <v>76</v>
      </c>
      <c r="F27" s="6">
        <v>128</v>
      </c>
      <c r="G27" s="6">
        <v>67</v>
      </c>
      <c r="H27" s="7">
        <f>IF(F27&gt;0,G27/F27,"n/a")</f>
        <v>0.523</v>
      </c>
      <c r="I27" s="6">
        <v>0</v>
      </c>
      <c r="J27" s="5" t="s">
        <v>45</v>
      </c>
      <c r="K27" s="6">
        <v>62</v>
      </c>
      <c r="L27" s="6">
        <v>59</v>
      </c>
      <c r="M27" s="7">
        <f>IF(K27&gt;0,L27/K27,"n/a")</f>
        <v>0.9520000000000001</v>
      </c>
      <c r="N27" s="8">
        <f>IF(AND(F27&gt;0,K27&gt;0),(H27-M27)*100,"n/a")</f>
        <v>-42.8</v>
      </c>
      <c r="O27" s="5" t="s">
        <v>68</v>
      </c>
    </row>
    <row r="28" spans="1:15">
      <c r="A28" s="5" t="s">
        <v>15</v>
      </c>
      <c r="B28" s="5" t="s">
        <v>15</v>
      </c>
      <c r="C28" s="5" t="s">
        <v>15</v>
      </c>
      <c r="D28" s="5" t="s">
        <v>77</v>
      </c>
      <c r="E28" s="5" t="s">
        <v>78</v>
      </c>
      <c r="F28" s="6">
        <v>119</v>
      </c>
      <c r="G28" s="6">
        <v>127</v>
      </c>
      <c r="H28" s="7">
        <f>IF(F28&gt;0,G28/F28,"n/a")</f>
        <v>1.067</v>
      </c>
      <c r="I28" s="6">
        <v>0</v>
      </c>
      <c r="J28" s="5" t="s">
        <v>19</v>
      </c>
      <c r="K28" s="6">
        <v>78</v>
      </c>
      <c r="L28" s="6">
        <v>78</v>
      </c>
      <c r="M28" s="7">
        <f>IF(K28&gt;0,L28/K28,"n/a")</f>
        <v>1.0</v>
      </c>
      <c r="N28" s="8">
        <f>IF(AND(F28&gt;0,K28&gt;0),(H28-M28)*100,"n/a")</f>
        <v>6.7</v>
      </c>
      <c r="O28" s="5" t="s">
        <v>20</v>
      </c>
    </row>
    <row r="29" spans="1:15">
      <c r="A29" s="5" t="s">
        <v>15</v>
      </c>
      <c r="B29" s="5" t="s">
        <v>15</v>
      </c>
      <c r="C29" s="5" t="s">
        <v>15</v>
      </c>
      <c r="D29" s="5" t="s">
        <v>79</v>
      </c>
      <c r="E29" s="5" t="s">
        <v>80</v>
      </c>
      <c r="F29" s="6">
        <v>122</v>
      </c>
      <c r="G29" s="6">
        <v>157</v>
      </c>
      <c r="H29" s="7">
        <f>IF(F29&gt;0,G29/F29,"n/a")</f>
        <v>1.287</v>
      </c>
      <c r="I29" s="6">
        <v>0</v>
      </c>
      <c r="J29" s="5" t="s">
        <v>26</v>
      </c>
      <c r="K29" s="6">
        <v>54</v>
      </c>
      <c r="L29" s="6">
        <v>30</v>
      </c>
      <c r="M29" s="7">
        <f>IF(K29&gt;0,L29/K29,"n/a")</f>
        <v>0.556</v>
      </c>
      <c r="N29" s="8">
        <f>IF(AND(F29&gt;0,K29&gt;0),(H29-M29)*100,"n/a")</f>
        <v>73.1</v>
      </c>
      <c r="O29" s="5" t="s">
        <v>23</v>
      </c>
    </row>
    <row r="30" spans="1:15">
      <c r="A30" s="5" t="s">
        <v>15</v>
      </c>
      <c r="B30" s="5" t="s">
        <v>15</v>
      </c>
      <c r="C30" s="5" t="s">
        <v>15</v>
      </c>
      <c r="D30" s="5" t="s">
        <v>81</v>
      </c>
      <c r="E30" s="5" t="s">
        <v>82</v>
      </c>
      <c r="F30" s="6">
        <v>50</v>
      </c>
      <c r="G30" s="6">
        <v>44</v>
      </c>
      <c r="H30" s="7">
        <f>IF(F30&gt;0,G30/F30,"n/a")</f>
        <v>0.88</v>
      </c>
      <c r="I30" s="6">
        <v>0</v>
      </c>
      <c r="J30" s="5" t="s">
        <v>19</v>
      </c>
      <c r="K30" s="6">
        <v>38</v>
      </c>
      <c r="L30" s="6">
        <v>0</v>
      </c>
      <c r="M30" s="7">
        <f>IF(K30&gt;0,L30/K30,"n/a")</f>
        <v>0.0</v>
      </c>
      <c r="N30" s="8">
        <f>IF(AND(F30&gt;0,K30&gt;0),(H30-M30)*100,"n/a")</f>
        <v>88.0</v>
      </c>
      <c r="O30" s="5" t="s">
        <v>23</v>
      </c>
    </row>
    <row r="31" spans="1:15">
      <c r="A31" s="5" t="s">
        <v>15</v>
      </c>
      <c r="B31" s="5" t="s">
        <v>15</v>
      </c>
      <c r="C31" s="5" t="s">
        <v>83</v>
      </c>
      <c r="D31" s="5" t="s">
        <v>84</v>
      </c>
      <c r="E31" s="5" t="s">
        <v>85</v>
      </c>
      <c r="F31" s="6">
        <v>88</v>
      </c>
      <c r="G31" s="6">
        <v>64</v>
      </c>
      <c r="H31" s="7">
        <f>IF(F31&gt;0,G31/F31,"n/a")</f>
        <v>0.727</v>
      </c>
      <c r="I31" s="6">
        <v>0</v>
      </c>
      <c r="J31" s="5" t="s">
        <v>45</v>
      </c>
      <c r="K31" s="6">
        <v>35</v>
      </c>
      <c r="L31" s="6">
        <v>35</v>
      </c>
      <c r="M31" s="7">
        <f>IF(K31&gt;0,L31/K31,"n/a")</f>
        <v>1.0</v>
      </c>
      <c r="N31" s="8">
        <f>IF(AND(F31&gt;0,K31&gt;0),(H31-M31)*100,"n/a")</f>
        <v>-27.3</v>
      </c>
      <c r="O31" s="5" t="s">
        <v>68</v>
      </c>
    </row>
    <row r="32" spans="1:15">
      <c r="A32" s="5" t="s">
        <v>15</v>
      </c>
      <c r="B32" s="5" t="s">
        <v>15</v>
      </c>
      <c r="C32" s="5" t="s">
        <v>83</v>
      </c>
      <c r="D32" s="5" t="s">
        <v>86</v>
      </c>
      <c r="E32" s="5" t="s">
        <v>87</v>
      </c>
      <c r="F32" s="6">
        <v>60</v>
      </c>
      <c r="G32" s="6">
        <v>174</v>
      </c>
      <c r="H32" s="7">
        <f>IF(F32&gt;0,G32/F32,"n/a")</f>
        <v>2.9</v>
      </c>
      <c r="I32" s="6">
        <v>0</v>
      </c>
      <c r="J32" s="5" t="s">
        <v>26</v>
      </c>
      <c r="K32" s="6">
        <v>14</v>
      </c>
      <c r="L32" s="6">
        <v>0</v>
      </c>
      <c r="M32" s="7">
        <f>IF(K32&gt;0,L32/K32,"n/a")</f>
        <v>0.0</v>
      </c>
      <c r="N32" s="8">
        <f>IF(AND(F32&gt;0,K32&gt;0),(H32-M32)*100,"n/a")</f>
        <v>290.0</v>
      </c>
      <c r="O32" s="5" t="s">
        <v>23</v>
      </c>
    </row>
    <row r="33" spans="1:15">
      <c r="A33" s="5" t="s">
        <v>15</v>
      </c>
      <c r="B33" s="5" t="s">
        <v>15</v>
      </c>
      <c r="C33" s="5" t="s">
        <v>83</v>
      </c>
      <c r="D33" s="5" t="s">
        <v>88</v>
      </c>
      <c r="E33" s="5" t="s">
        <v>89</v>
      </c>
      <c r="F33" s="6">
        <v>89</v>
      </c>
      <c r="G33" s="6">
        <v>0</v>
      </c>
      <c r="H33" s="7">
        <f>IF(F33&gt;0,G33/F33,"n/a")</f>
        <v>0.0</v>
      </c>
      <c r="I33" s="6">
        <v>0</v>
      </c>
      <c r="J33" s="5" t="s">
        <v>67</v>
      </c>
      <c r="K33" s="6">
        <v>23</v>
      </c>
      <c r="L33" s="6">
        <v>0</v>
      </c>
      <c r="M33" s="7">
        <f>IF(K33&gt;0,L33/K33,"n/a")</f>
        <v>0.0</v>
      </c>
      <c r="N33" s="8">
        <f>IF(AND(F33&gt;0,K33&gt;0),(H33-M33)*100,"n/a")</f>
        <v>0.0</v>
      </c>
      <c r="O33" s="5" t="s">
        <v>46</v>
      </c>
    </row>
    <row r="34" spans="1:15">
      <c r="A34" s="5" t="s">
        <v>15</v>
      </c>
      <c r="B34" s="5" t="s">
        <v>15</v>
      </c>
      <c r="C34" s="5" t="s">
        <v>83</v>
      </c>
      <c r="D34" s="5" t="s">
        <v>90</v>
      </c>
      <c r="E34" s="5" t="s">
        <v>91</v>
      </c>
      <c r="F34" s="6">
        <v>80</v>
      </c>
      <c r="G34" s="6">
        <v>57</v>
      </c>
      <c r="H34" s="7">
        <f>IF(F34&gt;0,G34/F34,"n/a")</f>
        <v>0.7120000000000001</v>
      </c>
      <c r="I34" s="6">
        <v>0</v>
      </c>
      <c r="J34" s="5" t="s">
        <v>45</v>
      </c>
      <c r="K34" s="6">
        <v>35</v>
      </c>
      <c r="L34" s="6">
        <v>35</v>
      </c>
      <c r="M34" s="7">
        <f>IF(K34&gt;0,L34/K34,"n/a")</f>
        <v>1.0</v>
      </c>
      <c r="N34" s="8">
        <f>IF(AND(F34&gt;0,K34&gt;0),(H34-M34)*100,"n/a")</f>
        <v>-28.8</v>
      </c>
      <c r="O34" s="5" t="s">
        <v>68</v>
      </c>
    </row>
    <row r="35" spans="1:15">
      <c r="A35" s="5" t="s">
        <v>15</v>
      </c>
      <c r="B35" s="5" t="s">
        <v>15</v>
      </c>
      <c r="C35" s="5" t="s">
        <v>83</v>
      </c>
      <c r="D35" s="5" t="s">
        <v>92</v>
      </c>
      <c r="E35" s="5" t="s">
        <v>93</v>
      </c>
      <c r="F35" s="6">
        <v>45</v>
      </c>
      <c r="G35" s="6">
        <v>42</v>
      </c>
      <c r="H35" s="7">
        <f>IF(F35&gt;0,G35/F35,"n/a")</f>
        <v>0.9329999999999999</v>
      </c>
      <c r="I35" s="6">
        <v>0</v>
      </c>
      <c r="J35" s="5" t="s">
        <v>19</v>
      </c>
      <c r="K35" s="6">
        <v>20</v>
      </c>
      <c r="L35" s="6">
        <v>4</v>
      </c>
      <c r="M35" s="7">
        <f>IF(K35&gt;0,L35/K35,"n/a")</f>
        <v>0.2</v>
      </c>
      <c r="N35" s="8">
        <f>IF(AND(F35&gt;0,K35&gt;0),(H35-M35)*100,"n/a")</f>
        <v>73.3</v>
      </c>
      <c r="O35" s="5" t="s">
        <v>23</v>
      </c>
    </row>
    <row r="36" spans="1:15">
      <c r="A36" s="5" t="s">
        <v>15</v>
      </c>
      <c r="B36" s="5" t="s">
        <v>15</v>
      </c>
      <c r="C36" s="5" t="s">
        <v>83</v>
      </c>
      <c r="D36" s="5" t="s">
        <v>94</v>
      </c>
      <c r="E36" s="5" t="s">
        <v>95</v>
      </c>
      <c r="F36" s="6">
        <v>89</v>
      </c>
      <c r="G36" s="6">
        <v>45</v>
      </c>
      <c r="H36" s="7">
        <f>IF(F36&gt;0,G36/F36,"n/a")</f>
        <v>0.506</v>
      </c>
      <c r="I36" s="6">
        <v>0</v>
      </c>
      <c r="J36" s="5" t="s">
        <v>45</v>
      </c>
      <c r="K36" s="6">
        <v>35</v>
      </c>
      <c r="L36" s="6">
        <v>34</v>
      </c>
      <c r="M36" s="7">
        <f>IF(K36&gt;0,L36/K36,"n/a")</f>
        <v>0.971</v>
      </c>
      <c r="N36" s="8">
        <f>IF(AND(F36&gt;0,K36&gt;0),(H36-M36)*100,"n/a")</f>
        <v>-46.6</v>
      </c>
      <c r="O36" s="5" t="s">
        <v>68</v>
      </c>
    </row>
    <row r="37" spans="1:15">
      <c r="A37" s="5" t="s">
        <v>15</v>
      </c>
      <c r="B37" s="5" t="s">
        <v>15</v>
      </c>
      <c r="C37" s="5" t="s">
        <v>83</v>
      </c>
      <c r="D37" s="5" t="s">
        <v>96</v>
      </c>
      <c r="E37" s="5" t="s">
        <v>97</v>
      </c>
      <c r="F37" s="6">
        <v>56</v>
      </c>
      <c r="G37" s="6">
        <v>56</v>
      </c>
      <c r="H37" s="7">
        <f>IF(F37&gt;0,G37/F37,"n/a")</f>
        <v>1.0</v>
      </c>
      <c r="I37" s="6">
        <v>0</v>
      </c>
      <c r="J37" s="5" t="s">
        <v>19</v>
      </c>
      <c r="K37" s="6">
        <v>23</v>
      </c>
      <c r="L37" s="6">
        <v>23</v>
      </c>
      <c r="M37" s="7">
        <f>IF(K37&gt;0,L37/K37,"n/a")</f>
        <v>1.0</v>
      </c>
      <c r="N37" s="8">
        <f>IF(AND(F37&gt;0,K37&gt;0),(H37-M37)*100,"n/a")</f>
        <v>0.0</v>
      </c>
      <c r="O37" s="5" t="s">
        <v>20</v>
      </c>
    </row>
    <row r="38" spans="1:15">
      <c r="A38" s="5" t="s">
        <v>15</v>
      </c>
      <c r="B38" s="5" t="s">
        <v>15</v>
      </c>
      <c r="C38" s="5" t="s">
        <v>83</v>
      </c>
      <c r="D38" s="5" t="s">
        <v>98</v>
      </c>
      <c r="E38" s="5" t="s">
        <v>99</v>
      </c>
      <c r="F38" s="6">
        <v>35</v>
      </c>
      <c r="G38" s="6">
        <v>32</v>
      </c>
      <c r="H38" s="7">
        <f>IF(F38&gt;0,G38/F38,"n/a")</f>
        <v>0.914</v>
      </c>
      <c r="I38" s="6">
        <v>0</v>
      </c>
      <c r="J38" s="5" t="s">
        <v>19</v>
      </c>
      <c r="K38" s="6">
        <v>0</v>
      </c>
      <c r="L38" s="6">
        <v>5</v>
      </c>
      <c r="M38" s="7" t="str">
        <f>IF(K38&gt;0,L38/K38,"n/a")</f>
        <v>n/a</v>
      </c>
      <c r="N38" s="8" t="str">
        <f>IF(AND(F38&gt;0,K38&gt;0),(H38-M38)*100,"n/a")</f>
        <v>n/a</v>
      </c>
      <c r="O38" s="5" t="s">
        <v>100</v>
      </c>
    </row>
    <row r="39" spans="1:15">
      <c r="A39" s="5" t="s">
        <v>15</v>
      </c>
      <c r="B39" s="5" t="s">
        <v>15</v>
      </c>
      <c r="C39" s="5" t="s">
        <v>83</v>
      </c>
      <c r="D39" s="5" t="s">
        <v>101</v>
      </c>
      <c r="E39" s="5" t="s">
        <v>102</v>
      </c>
      <c r="F39" s="6">
        <v>103</v>
      </c>
      <c r="G39" s="6">
        <v>104</v>
      </c>
      <c r="H39" s="7">
        <f>IF(F39&gt;0,G39/F39,"n/a")</f>
        <v>1.01</v>
      </c>
      <c r="I39" s="6">
        <v>0</v>
      </c>
      <c r="J39" s="5" t="s">
        <v>19</v>
      </c>
      <c r="K39" s="6">
        <v>30</v>
      </c>
      <c r="L39" s="6">
        <v>29</v>
      </c>
      <c r="M39" s="7">
        <f>IF(K39&gt;0,L39/K39,"n/a")</f>
        <v>0.9670000000000001</v>
      </c>
      <c r="N39" s="8">
        <f>IF(AND(F39&gt;0,K39&gt;0),(H39-M39)*100,"n/a")</f>
        <v>4.3</v>
      </c>
      <c r="O39" s="5" t="s">
        <v>20</v>
      </c>
    </row>
    <row r="40" spans="1:15">
      <c r="A40" s="5" t="s">
        <v>15</v>
      </c>
      <c r="B40" s="5" t="s">
        <v>15</v>
      </c>
      <c r="C40" s="5" t="s">
        <v>83</v>
      </c>
      <c r="D40" s="5" t="s">
        <v>103</v>
      </c>
      <c r="E40" s="5" t="s">
        <v>104</v>
      </c>
      <c r="F40" s="6">
        <v>51</v>
      </c>
      <c r="G40" s="6">
        <v>29</v>
      </c>
      <c r="H40" s="7">
        <f>IF(F40&gt;0,G40/F40,"n/a")</f>
        <v>0.569</v>
      </c>
      <c r="I40" s="6">
        <v>0</v>
      </c>
      <c r="J40" s="5" t="s">
        <v>45</v>
      </c>
      <c r="K40" s="6">
        <v>11</v>
      </c>
      <c r="L40" s="6">
        <v>11</v>
      </c>
      <c r="M40" s="7">
        <f>IF(K40&gt;0,L40/K40,"n/a")</f>
        <v>1.0</v>
      </c>
      <c r="N40" s="8">
        <f>IF(AND(F40&gt;0,K40&gt;0),(H40-M40)*100,"n/a")</f>
        <v>-43.1</v>
      </c>
      <c r="O40" s="5" t="s">
        <v>68</v>
      </c>
    </row>
    <row r="41" spans="1:15">
      <c r="A41" s="5" t="s">
        <v>15</v>
      </c>
      <c r="B41" s="5" t="s">
        <v>15</v>
      </c>
      <c r="C41" s="5" t="s">
        <v>83</v>
      </c>
      <c r="D41" s="5" t="s">
        <v>105</v>
      </c>
      <c r="E41" s="5" t="s">
        <v>106</v>
      </c>
      <c r="F41" s="6">
        <v>29</v>
      </c>
      <c r="G41" s="6">
        <v>35</v>
      </c>
      <c r="H41" s="7">
        <f>IF(F41&gt;0,G41/F41,"n/a")</f>
        <v>1.207</v>
      </c>
      <c r="I41" s="6">
        <v>0</v>
      </c>
      <c r="J41" s="5" t="s">
        <v>26</v>
      </c>
      <c r="K41" s="6">
        <v>21</v>
      </c>
      <c r="L41" s="6">
        <v>21</v>
      </c>
      <c r="M41" s="7">
        <f>IF(K41&gt;0,L41/K41,"n/a")</f>
        <v>1.0</v>
      </c>
      <c r="N41" s="8">
        <f>IF(AND(F41&gt;0,K41&gt;0),(H41-M41)*100,"n/a")</f>
        <v>20.7</v>
      </c>
      <c r="O41" s="5" t="s">
        <v>20</v>
      </c>
    </row>
    <row r="42" spans="1:15">
      <c r="A42" s="5" t="s">
        <v>15</v>
      </c>
      <c r="B42" s="5" t="s">
        <v>15</v>
      </c>
      <c r="C42" s="5" t="s">
        <v>107</v>
      </c>
      <c r="D42" s="5" t="s">
        <v>108</v>
      </c>
      <c r="E42" s="5" t="s">
        <v>109</v>
      </c>
      <c r="F42" s="6">
        <v>122</v>
      </c>
      <c r="G42" s="6">
        <v>127</v>
      </c>
      <c r="H42" s="7">
        <f>IF(F42&gt;0,G42/F42,"n/a")</f>
        <v>1.041</v>
      </c>
      <c r="I42" s="6">
        <v>0</v>
      </c>
      <c r="J42" s="5" t="s">
        <v>19</v>
      </c>
      <c r="K42" s="6">
        <v>53</v>
      </c>
      <c r="L42" s="6">
        <v>44</v>
      </c>
      <c r="M42" s="7">
        <f>IF(K42&gt;0,L42/K42,"n/a")</f>
        <v>0.83</v>
      </c>
      <c r="N42" s="8">
        <f>IF(AND(F42&gt;0,K42&gt;0),(H42-M42)*100,"n/a")</f>
        <v>21.1</v>
      </c>
      <c r="O42" s="5" t="s">
        <v>20</v>
      </c>
    </row>
    <row r="43" spans="1:15">
      <c r="A43" s="5" t="s">
        <v>15</v>
      </c>
      <c r="B43" s="5" t="s">
        <v>15</v>
      </c>
      <c r="C43" s="5" t="s">
        <v>107</v>
      </c>
      <c r="D43" s="5" t="s">
        <v>110</v>
      </c>
      <c r="E43" s="5" t="s">
        <v>111</v>
      </c>
      <c r="F43" s="6">
        <v>135</v>
      </c>
      <c r="G43" s="6">
        <v>0</v>
      </c>
      <c r="H43" s="7">
        <f>IF(F43&gt;0,G43/F43,"n/a")</f>
        <v>0.0</v>
      </c>
      <c r="I43" s="6">
        <v>0</v>
      </c>
      <c r="J43" s="5" t="s">
        <v>67</v>
      </c>
      <c r="K43" s="6">
        <v>47</v>
      </c>
      <c r="L43" s="6">
        <v>46</v>
      </c>
      <c r="M43" s="7">
        <f>IF(K43&gt;0,L43/K43,"n/a")</f>
        <v>0.9790000000000001</v>
      </c>
      <c r="N43" s="8">
        <f>IF(AND(F43&gt;0,K43&gt;0),(H43-M43)*100,"n/a")</f>
        <v>-97.9</v>
      </c>
      <c r="O43" s="5" t="s">
        <v>68</v>
      </c>
    </row>
    <row r="44" spans="1:15">
      <c r="A44" s="5" t="s">
        <v>15</v>
      </c>
      <c r="B44" s="5" t="s">
        <v>15</v>
      </c>
      <c r="C44" s="5" t="s">
        <v>107</v>
      </c>
      <c r="D44" s="5" t="s">
        <v>112</v>
      </c>
      <c r="E44" s="5" t="s">
        <v>113</v>
      </c>
      <c r="F44" s="6">
        <v>99</v>
      </c>
      <c r="G44" s="6">
        <v>212</v>
      </c>
      <c r="H44" s="7">
        <f>IF(F44&gt;0,G44/F44,"n/a")</f>
        <v>2.141</v>
      </c>
      <c r="I44" s="6">
        <v>0</v>
      </c>
      <c r="J44" s="5" t="s">
        <v>26</v>
      </c>
      <c r="K44" s="6">
        <v>44</v>
      </c>
      <c r="L44" s="6">
        <v>25</v>
      </c>
      <c r="M44" s="7">
        <f>IF(K44&gt;0,L44/K44,"n/a")</f>
        <v>0.568</v>
      </c>
      <c r="N44" s="8">
        <f>IF(AND(F44&gt;0,K44&gt;0),(H44-M44)*100,"n/a")</f>
        <v>157.3</v>
      </c>
      <c r="O44" s="5" t="s">
        <v>23</v>
      </c>
    </row>
    <row r="45" spans="1:15">
      <c r="A45" s="5" t="s">
        <v>15</v>
      </c>
      <c r="B45" s="5" t="s">
        <v>15</v>
      </c>
      <c r="C45" s="5" t="s">
        <v>107</v>
      </c>
      <c r="D45" s="5" t="s">
        <v>114</v>
      </c>
      <c r="E45" s="5" t="s">
        <v>115</v>
      </c>
      <c r="F45" s="6">
        <v>84</v>
      </c>
      <c r="G45" s="6">
        <v>90</v>
      </c>
      <c r="H45" s="7">
        <f>IF(F45&gt;0,G45/F45,"n/a")</f>
        <v>1.071</v>
      </c>
      <c r="I45" s="6">
        <v>0</v>
      </c>
      <c r="J45" s="5" t="s">
        <v>19</v>
      </c>
      <c r="K45" s="6">
        <v>32</v>
      </c>
      <c r="L45" s="6">
        <v>25</v>
      </c>
      <c r="M45" s="7">
        <f>IF(K45&gt;0,L45/K45,"n/a")</f>
        <v>0.7809999999999999</v>
      </c>
      <c r="N45" s="8">
        <f>IF(AND(F45&gt;0,K45&gt;0),(H45-M45)*100,"n/a")</f>
        <v>29.0</v>
      </c>
      <c r="O45" s="5" t="s">
        <v>23</v>
      </c>
    </row>
    <row r="46" spans="1:15">
      <c r="A46" s="5" t="s">
        <v>15</v>
      </c>
      <c r="B46" s="5" t="s">
        <v>15</v>
      </c>
      <c r="C46" s="5" t="s">
        <v>107</v>
      </c>
      <c r="D46" s="5" t="s">
        <v>116</v>
      </c>
      <c r="E46" s="5" t="s">
        <v>117</v>
      </c>
      <c r="F46" s="6">
        <v>111</v>
      </c>
      <c r="G46" s="6">
        <v>0</v>
      </c>
      <c r="H46" s="7">
        <f>IF(F46&gt;0,G46/F46,"n/a")</f>
        <v>0.0</v>
      </c>
      <c r="I46" s="6">
        <v>0</v>
      </c>
      <c r="J46" s="5" t="s">
        <v>67</v>
      </c>
      <c r="K46" s="6">
        <v>38</v>
      </c>
      <c r="L46" s="6">
        <v>40</v>
      </c>
      <c r="M46" s="7">
        <f>IF(K46&gt;0,L46/K46,"n/a")</f>
        <v>1.053</v>
      </c>
      <c r="N46" s="8">
        <f>IF(AND(F46&gt;0,K46&gt;0),(H46-M46)*100,"n/a")</f>
        <v>-105.3</v>
      </c>
      <c r="O46" s="5" t="s">
        <v>68</v>
      </c>
    </row>
    <row r="47" spans="1:15">
      <c r="A47" s="5" t="s">
        <v>15</v>
      </c>
      <c r="B47" s="5" t="s">
        <v>15</v>
      </c>
      <c r="C47" s="5" t="s">
        <v>118</v>
      </c>
      <c r="D47" s="5" t="s">
        <v>119</v>
      </c>
      <c r="E47" s="5" t="s">
        <v>120</v>
      </c>
      <c r="F47" s="6">
        <v>21</v>
      </c>
      <c r="G47" s="6">
        <v>22</v>
      </c>
      <c r="H47" s="7">
        <f>IF(F47&gt;0,G47/F47,"n/a")</f>
        <v>1.048</v>
      </c>
      <c r="I47" s="6">
        <v>0</v>
      </c>
      <c r="J47" s="5" t="s">
        <v>19</v>
      </c>
      <c r="K47" s="6">
        <v>27</v>
      </c>
      <c r="L47" s="6">
        <v>27</v>
      </c>
      <c r="M47" s="7">
        <f>IF(K47&gt;0,L47/K47,"n/a")</f>
        <v>1.0</v>
      </c>
      <c r="N47" s="8">
        <f>IF(AND(F47&gt;0,K47&gt;0),(H47-M47)*100,"n/a")</f>
        <v>4.8</v>
      </c>
      <c r="O47" s="5" t="s">
        <v>20</v>
      </c>
    </row>
    <row r="48" spans="1:15">
      <c r="A48" s="5" t="s">
        <v>15</v>
      </c>
      <c r="B48" s="5" t="s">
        <v>15</v>
      </c>
      <c r="C48" s="5" t="s">
        <v>118</v>
      </c>
      <c r="D48" s="5" t="s">
        <v>121</v>
      </c>
      <c r="E48" s="5" t="s">
        <v>122</v>
      </c>
      <c r="F48" s="6">
        <v>45</v>
      </c>
      <c r="G48" s="6">
        <v>46</v>
      </c>
      <c r="H48" s="7">
        <f>IF(F48&gt;0,G48/F48,"n/a")</f>
        <v>1.022</v>
      </c>
      <c r="I48" s="6">
        <v>0</v>
      </c>
      <c r="J48" s="5" t="s">
        <v>19</v>
      </c>
      <c r="K48" s="6">
        <v>76</v>
      </c>
      <c r="L48" s="6">
        <v>62</v>
      </c>
      <c r="M48" s="7">
        <f>IF(K48&gt;0,L48/K48,"n/a")</f>
        <v>0.816</v>
      </c>
      <c r="N48" s="8">
        <f>IF(AND(F48&gt;0,K48&gt;0),(H48-M48)*100,"n/a")</f>
        <v>20.6</v>
      </c>
      <c r="O48" s="5" t="s">
        <v>20</v>
      </c>
    </row>
    <row r="49" spans="1:15">
      <c r="A49" s="5" t="s">
        <v>15</v>
      </c>
      <c r="B49" s="5" t="s">
        <v>15</v>
      </c>
      <c r="C49" s="5" t="s">
        <v>118</v>
      </c>
      <c r="D49" s="5" t="s">
        <v>123</v>
      </c>
      <c r="E49" s="5" t="s">
        <v>124</v>
      </c>
      <c r="F49" s="6">
        <v>100</v>
      </c>
      <c r="G49" s="6">
        <v>84</v>
      </c>
      <c r="H49" s="7">
        <f>IF(F49&gt;0,G49/F49,"n/a")</f>
        <v>0.84</v>
      </c>
      <c r="I49" s="6">
        <v>0</v>
      </c>
      <c r="J49" s="5" t="s">
        <v>19</v>
      </c>
      <c r="K49" s="6">
        <v>89</v>
      </c>
      <c r="L49" s="6">
        <v>0</v>
      </c>
      <c r="M49" s="7">
        <f>IF(K49&gt;0,L49/K49,"n/a")</f>
        <v>0.0</v>
      </c>
      <c r="N49" s="8">
        <f>IF(AND(F49&gt;0,K49&gt;0),(H49-M49)*100,"n/a")</f>
        <v>84.0</v>
      </c>
      <c r="O49" s="5" t="s">
        <v>23</v>
      </c>
    </row>
    <row r="50" spans="1:15">
      <c r="A50" s="5" t="s">
        <v>15</v>
      </c>
      <c r="B50" s="5" t="s">
        <v>15</v>
      </c>
      <c r="C50" s="5" t="s">
        <v>118</v>
      </c>
      <c r="D50" s="5" t="s">
        <v>125</v>
      </c>
      <c r="E50" s="5" t="s">
        <v>126</v>
      </c>
      <c r="F50" s="6">
        <v>74</v>
      </c>
      <c r="G50" s="6">
        <v>61</v>
      </c>
      <c r="H50" s="7">
        <f>IF(F50&gt;0,G50/F50,"n/a")</f>
        <v>0.8240000000000001</v>
      </c>
      <c r="I50" s="6">
        <v>0</v>
      </c>
      <c r="J50" s="5" t="s">
        <v>19</v>
      </c>
      <c r="K50" s="6">
        <v>65</v>
      </c>
      <c r="L50" s="6">
        <v>68</v>
      </c>
      <c r="M50" s="7">
        <f>IF(K50&gt;0,L50/K50,"n/a")</f>
        <v>1.046</v>
      </c>
      <c r="N50" s="8">
        <f>IF(AND(F50&gt;0,K50&gt;0),(H50-M50)*100,"n/a")</f>
        <v>-22.2</v>
      </c>
      <c r="O50" s="5" t="s">
        <v>20</v>
      </c>
    </row>
    <row r="51" spans="1:15">
      <c r="A51" s="5" t="s">
        <v>15</v>
      </c>
      <c r="B51" s="5" t="s">
        <v>15</v>
      </c>
      <c r="C51" s="5" t="s">
        <v>118</v>
      </c>
      <c r="D51" s="5" t="s">
        <v>127</v>
      </c>
      <c r="E51" s="5" t="s">
        <v>128</v>
      </c>
      <c r="F51" s="6">
        <v>61</v>
      </c>
      <c r="G51" s="6">
        <v>61</v>
      </c>
      <c r="H51" s="7">
        <f>IF(F51&gt;0,G51/F51,"n/a")</f>
        <v>1.0</v>
      </c>
      <c r="I51" s="6">
        <v>0</v>
      </c>
      <c r="J51" s="5" t="s">
        <v>19</v>
      </c>
      <c r="K51" s="6">
        <v>37</v>
      </c>
      <c r="L51" s="6">
        <v>1</v>
      </c>
      <c r="M51" s="7">
        <f>IF(K51&gt;0,L51/K51,"n/a")</f>
        <v>0.027000000000000003</v>
      </c>
      <c r="N51" s="8">
        <f>IF(AND(F51&gt;0,K51&gt;0),(H51-M51)*100,"n/a")</f>
        <v>97.3</v>
      </c>
      <c r="O51" s="5" t="s">
        <v>23</v>
      </c>
    </row>
    <row r="52" spans="1:15">
      <c r="A52" s="5" t="s">
        <v>15</v>
      </c>
      <c r="B52" s="5" t="s">
        <v>15</v>
      </c>
      <c r="C52" s="5" t="s">
        <v>118</v>
      </c>
      <c r="D52" s="5" t="s">
        <v>129</v>
      </c>
      <c r="E52" s="5" t="s">
        <v>130</v>
      </c>
      <c r="F52" s="6">
        <v>94</v>
      </c>
      <c r="G52" s="6">
        <v>98</v>
      </c>
      <c r="H52" s="7">
        <f>IF(F52&gt;0,G52/F52,"n/a")</f>
        <v>1.043</v>
      </c>
      <c r="I52" s="6">
        <v>0</v>
      </c>
      <c r="J52" s="5" t="s">
        <v>19</v>
      </c>
      <c r="K52" s="6">
        <v>67</v>
      </c>
      <c r="L52" s="6">
        <v>69</v>
      </c>
      <c r="M52" s="7">
        <f>IF(K52&gt;0,L52/K52,"n/a")</f>
        <v>1.03</v>
      </c>
      <c r="N52" s="8">
        <f>IF(AND(F52&gt;0,K52&gt;0),(H52-M52)*100,"n/a")</f>
        <v>1.3</v>
      </c>
      <c r="O52" s="5" t="s">
        <v>20</v>
      </c>
    </row>
    <row r="53" spans="1:15">
      <c r="A53" s="5" t="s">
        <v>15</v>
      </c>
      <c r="B53" s="5" t="s">
        <v>15</v>
      </c>
      <c r="C53" s="5" t="s">
        <v>118</v>
      </c>
      <c r="D53" s="5" t="s">
        <v>131</v>
      </c>
      <c r="E53" s="5" t="s">
        <v>132</v>
      </c>
      <c r="F53" s="6">
        <v>88</v>
      </c>
      <c r="G53" s="6">
        <v>57</v>
      </c>
      <c r="H53" s="7">
        <f>IF(F53&gt;0,G53/F53,"n/a")</f>
        <v>0.648</v>
      </c>
      <c r="I53" s="6">
        <v>0</v>
      </c>
      <c r="J53" s="5" t="s">
        <v>45</v>
      </c>
      <c r="K53" s="6">
        <v>47</v>
      </c>
      <c r="L53" s="6">
        <v>46</v>
      </c>
      <c r="M53" s="7">
        <f>IF(K53&gt;0,L53/K53,"n/a")</f>
        <v>0.9790000000000001</v>
      </c>
      <c r="N53" s="8">
        <f>IF(AND(F53&gt;0,K53&gt;0),(H53-M53)*100,"n/a")</f>
        <v>-33.1</v>
      </c>
      <c r="O53" s="5" t="s">
        <v>68</v>
      </c>
    </row>
    <row r="54" spans="1:15">
      <c r="A54" s="5" t="s">
        <v>15</v>
      </c>
      <c r="B54" s="5" t="s">
        <v>15</v>
      </c>
      <c r="C54" s="5" t="s">
        <v>133</v>
      </c>
      <c r="D54" s="5" t="s">
        <v>134</v>
      </c>
      <c r="E54" s="5" t="s">
        <v>135</v>
      </c>
      <c r="F54" s="6">
        <v>3</v>
      </c>
      <c r="G54" s="6">
        <v>3</v>
      </c>
      <c r="H54" s="7">
        <f>IF(F54&gt;0,G54/F54,"n/a")</f>
        <v>1.0</v>
      </c>
      <c r="I54" s="6">
        <v>0</v>
      </c>
      <c r="J54" s="5" t="s">
        <v>19</v>
      </c>
      <c r="K54" s="6">
        <v>14</v>
      </c>
      <c r="L54" s="6">
        <v>14</v>
      </c>
      <c r="M54" s="7">
        <f>IF(K54&gt;0,L54/K54,"n/a")</f>
        <v>1.0</v>
      </c>
      <c r="N54" s="8">
        <f>IF(AND(F54&gt;0,K54&gt;0),(H54-M54)*100,"n/a")</f>
        <v>0.0</v>
      </c>
      <c r="O54" s="5" t="s">
        <v>20</v>
      </c>
    </row>
    <row r="55" spans="1:15">
      <c r="A55" s="5" t="s">
        <v>15</v>
      </c>
      <c r="B55" s="5" t="s">
        <v>15</v>
      </c>
      <c r="C55" s="5" t="s">
        <v>133</v>
      </c>
      <c r="D55" s="5" t="s">
        <v>136</v>
      </c>
      <c r="E55" s="5" t="s">
        <v>137</v>
      </c>
      <c r="F55" s="6">
        <v>24</v>
      </c>
      <c r="G55" s="6">
        <v>39</v>
      </c>
      <c r="H55" s="7">
        <f>IF(F55&gt;0,G55/F55,"n/a")</f>
        <v>1.625</v>
      </c>
      <c r="I55" s="6">
        <v>0</v>
      </c>
      <c r="J55" s="5" t="s">
        <v>26</v>
      </c>
      <c r="K55" s="6">
        <v>50</v>
      </c>
      <c r="L55" s="6">
        <v>50</v>
      </c>
      <c r="M55" s="7">
        <f>IF(K55&gt;0,L55/K55,"n/a")</f>
        <v>1.0</v>
      </c>
      <c r="N55" s="8">
        <f>IF(AND(F55&gt;0,K55&gt;0),(H55-M55)*100,"n/a")</f>
        <v>62.5</v>
      </c>
      <c r="O55" s="5" t="s">
        <v>20</v>
      </c>
    </row>
    <row r="56" spans="1:15">
      <c r="A56" s="5" t="s">
        <v>15</v>
      </c>
      <c r="B56" s="5" t="s">
        <v>15</v>
      </c>
      <c r="C56" s="5" t="s">
        <v>133</v>
      </c>
      <c r="D56" s="5" t="s">
        <v>138</v>
      </c>
      <c r="E56" s="5" t="s">
        <v>139</v>
      </c>
      <c r="F56" s="6">
        <v>20</v>
      </c>
      <c r="G56" s="6">
        <v>16</v>
      </c>
      <c r="H56" s="7">
        <f>IF(F56&gt;0,G56/F56,"n/a")</f>
        <v>0.8</v>
      </c>
      <c r="I56" s="6">
        <v>0</v>
      </c>
      <c r="J56" s="5" t="s">
        <v>19</v>
      </c>
      <c r="K56" s="6">
        <v>31</v>
      </c>
      <c r="L56" s="6">
        <v>0</v>
      </c>
      <c r="M56" s="7">
        <f>IF(K56&gt;0,L56/K56,"n/a")</f>
        <v>0.0</v>
      </c>
      <c r="N56" s="8">
        <f>IF(AND(F56&gt;0,K56&gt;0),(H56-M56)*100,"n/a")</f>
        <v>80.0</v>
      </c>
      <c r="O56" s="5" t="s">
        <v>23</v>
      </c>
    </row>
    <row r="57" spans="1:15">
      <c r="A57" s="5" t="s">
        <v>15</v>
      </c>
      <c r="B57" s="5" t="s">
        <v>15</v>
      </c>
      <c r="C57" s="5" t="s">
        <v>133</v>
      </c>
      <c r="D57" s="5" t="s">
        <v>140</v>
      </c>
      <c r="E57" s="5" t="s">
        <v>141</v>
      </c>
      <c r="F57" s="6">
        <v>16</v>
      </c>
      <c r="G57" s="6">
        <v>29</v>
      </c>
      <c r="H57" s="7">
        <f>IF(F57&gt;0,G57/F57,"n/a")</f>
        <v>1.8119999999999998</v>
      </c>
      <c r="I57" s="6">
        <v>0</v>
      </c>
      <c r="J57" s="5" t="s">
        <v>26</v>
      </c>
      <c r="K57" s="6">
        <v>22</v>
      </c>
      <c r="L57" s="6">
        <v>19</v>
      </c>
      <c r="M57" s="7">
        <f>IF(K57&gt;0,L57/K57,"n/a")</f>
        <v>0.8640000000000001</v>
      </c>
      <c r="N57" s="8">
        <f>IF(AND(F57&gt;0,K57&gt;0),(H57-M57)*100,"n/a")</f>
        <v>94.9</v>
      </c>
      <c r="O57" s="5" t="s">
        <v>20</v>
      </c>
    </row>
    <row r="58" spans="1:15">
      <c r="A58" s="5" t="s">
        <v>15</v>
      </c>
      <c r="B58" s="5" t="s">
        <v>15</v>
      </c>
      <c r="C58" s="5" t="s">
        <v>133</v>
      </c>
      <c r="D58" s="5" t="s">
        <v>142</v>
      </c>
      <c r="E58" s="5" t="s">
        <v>143</v>
      </c>
      <c r="F58" s="6">
        <v>48</v>
      </c>
      <c r="G58" s="6">
        <v>32</v>
      </c>
      <c r="H58" s="7">
        <f>IF(F58&gt;0,G58/F58,"n/a")</f>
        <v>0.667</v>
      </c>
      <c r="I58" s="6">
        <v>3</v>
      </c>
      <c r="J58" s="5" t="s">
        <v>45</v>
      </c>
      <c r="K58" s="6">
        <v>16</v>
      </c>
      <c r="L58" s="6">
        <v>0</v>
      </c>
      <c r="M58" s="7">
        <f>IF(K58&gt;0,L58/K58,"n/a")</f>
        <v>0.0</v>
      </c>
      <c r="N58" s="8">
        <f>IF(AND(F58&gt;0,K58&gt;0),(H58-M58)*100,"n/a")</f>
        <v>66.7</v>
      </c>
      <c r="O58" s="5" t="s">
        <v>46</v>
      </c>
    </row>
    <row r="59" spans="1:15">
      <c r="A59" s="5" t="s">
        <v>15</v>
      </c>
      <c r="B59" s="5" t="s">
        <v>144</v>
      </c>
      <c r="C59" s="5" t="s">
        <v>145</v>
      </c>
      <c r="D59" s="5" t="s">
        <v>146</v>
      </c>
      <c r="E59" s="5" t="s">
        <v>147</v>
      </c>
      <c r="F59" s="6">
        <v>55</v>
      </c>
      <c r="G59" s="6">
        <v>99</v>
      </c>
      <c r="H59" s="7">
        <f>IF(F59&gt;0,G59/F59,"n/a")</f>
        <v>1.8</v>
      </c>
      <c r="I59" s="6">
        <v>0</v>
      </c>
      <c r="J59" s="5" t="s">
        <v>26</v>
      </c>
      <c r="K59" s="6">
        <v>10</v>
      </c>
      <c r="L59" s="6">
        <v>10</v>
      </c>
      <c r="M59" s="7">
        <f>IF(K59&gt;0,L59/K59,"n/a")</f>
        <v>1.0</v>
      </c>
      <c r="N59" s="8">
        <f>IF(AND(F59&gt;0,K59&gt;0),(H59-M59)*100,"n/a")</f>
        <v>80.0</v>
      </c>
      <c r="O59" s="5" t="s">
        <v>20</v>
      </c>
    </row>
    <row r="60" spans="1:15">
      <c r="A60" s="5" t="s">
        <v>15</v>
      </c>
      <c r="B60" s="5" t="s">
        <v>144</v>
      </c>
      <c r="C60" s="5" t="s">
        <v>145</v>
      </c>
      <c r="D60" s="5" t="s">
        <v>148</v>
      </c>
      <c r="E60" s="5" t="s">
        <v>149</v>
      </c>
      <c r="F60" s="6">
        <v>44</v>
      </c>
      <c r="G60" s="6">
        <v>57</v>
      </c>
      <c r="H60" s="7">
        <f>IF(F60&gt;0,G60/F60,"n/a")</f>
        <v>1.295</v>
      </c>
      <c r="I60" s="6">
        <v>0</v>
      </c>
      <c r="J60" s="5" t="s">
        <v>26</v>
      </c>
      <c r="K60" s="6">
        <v>9</v>
      </c>
      <c r="L60" s="6">
        <v>9</v>
      </c>
      <c r="M60" s="7">
        <f>IF(K60&gt;0,L60/K60,"n/a")</f>
        <v>1.0</v>
      </c>
      <c r="N60" s="8">
        <f>IF(AND(F60&gt;0,K60&gt;0),(H60-M60)*100,"n/a")</f>
        <v>29.5</v>
      </c>
      <c r="O60" s="5" t="s">
        <v>20</v>
      </c>
    </row>
    <row r="61" spans="1:15">
      <c r="A61" s="5" t="s">
        <v>15</v>
      </c>
      <c r="B61" s="5" t="s">
        <v>144</v>
      </c>
      <c r="C61" s="5" t="s">
        <v>145</v>
      </c>
      <c r="D61" s="5" t="s">
        <v>150</v>
      </c>
      <c r="E61" s="5" t="s">
        <v>151</v>
      </c>
      <c r="F61" s="6">
        <v>29</v>
      </c>
      <c r="G61" s="6">
        <v>29</v>
      </c>
      <c r="H61" s="7">
        <f>IF(F61&gt;0,G61/F61,"n/a")</f>
        <v>1.0</v>
      </c>
      <c r="I61" s="6">
        <v>0</v>
      </c>
      <c r="J61" s="5" t="s">
        <v>19</v>
      </c>
      <c r="K61" s="6">
        <v>14</v>
      </c>
      <c r="L61" s="6">
        <v>14</v>
      </c>
      <c r="M61" s="7">
        <f>IF(K61&gt;0,L61/K61,"n/a")</f>
        <v>1.0</v>
      </c>
      <c r="N61" s="8">
        <f>IF(AND(F61&gt;0,K61&gt;0),(H61-M61)*100,"n/a")</f>
        <v>0.0</v>
      </c>
      <c r="O61" s="5" t="s">
        <v>20</v>
      </c>
    </row>
    <row r="62" spans="1:15">
      <c r="A62" s="5" t="s">
        <v>15</v>
      </c>
      <c r="B62" s="5" t="s">
        <v>144</v>
      </c>
      <c r="C62" s="5" t="s">
        <v>145</v>
      </c>
      <c r="D62" s="5" t="s">
        <v>152</v>
      </c>
      <c r="E62" s="5" t="s">
        <v>153</v>
      </c>
      <c r="F62" s="6">
        <v>91</v>
      </c>
      <c r="G62" s="6">
        <v>91</v>
      </c>
      <c r="H62" s="7">
        <f>IF(F62&gt;0,G62/F62,"n/a")</f>
        <v>1.0</v>
      </c>
      <c r="I62" s="6">
        <v>0</v>
      </c>
      <c r="J62" s="5" t="s">
        <v>19</v>
      </c>
      <c r="K62" s="6">
        <v>31</v>
      </c>
      <c r="L62" s="6">
        <v>31</v>
      </c>
      <c r="M62" s="7">
        <f>IF(K62&gt;0,L62/K62,"n/a")</f>
        <v>1.0</v>
      </c>
      <c r="N62" s="8">
        <f>IF(AND(F62&gt;0,K62&gt;0),(H62-M62)*100,"n/a")</f>
        <v>0.0</v>
      </c>
      <c r="O62" s="5" t="s">
        <v>20</v>
      </c>
    </row>
    <row r="63" spans="1:15">
      <c r="A63" s="5" t="s">
        <v>15</v>
      </c>
      <c r="B63" s="5" t="s">
        <v>144</v>
      </c>
      <c r="C63" s="5" t="s">
        <v>145</v>
      </c>
      <c r="D63" s="5" t="s">
        <v>154</v>
      </c>
      <c r="E63" s="5" t="s">
        <v>155</v>
      </c>
      <c r="F63" s="6">
        <v>39</v>
      </c>
      <c r="G63" s="6">
        <v>39</v>
      </c>
      <c r="H63" s="7">
        <f>IF(F63&gt;0,G63/F63,"n/a")</f>
        <v>1.0</v>
      </c>
      <c r="I63" s="6">
        <v>0</v>
      </c>
      <c r="J63" s="5" t="s">
        <v>19</v>
      </c>
      <c r="K63" s="6">
        <v>19</v>
      </c>
      <c r="L63" s="6">
        <v>19</v>
      </c>
      <c r="M63" s="7">
        <f>IF(K63&gt;0,L63/K63,"n/a")</f>
        <v>1.0</v>
      </c>
      <c r="N63" s="8">
        <f>IF(AND(F63&gt;0,K63&gt;0),(H63-M63)*100,"n/a")</f>
        <v>0.0</v>
      </c>
      <c r="O63" s="5" t="s">
        <v>20</v>
      </c>
    </row>
    <row r="64" spans="1:15">
      <c r="A64" s="5" t="s">
        <v>15</v>
      </c>
      <c r="B64" s="5" t="s">
        <v>144</v>
      </c>
      <c r="C64" s="5" t="s">
        <v>145</v>
      </c>
      <c r="D64" s="5" t="s">
        <v>156</v>
      </c>
      <c r="E64" s="5" t="s">
        <v>157</v>
      </c>
      <c r="F64" s="6">
        <v>168</v>
      </c>
      <c r="G64" s="6">
        <v>185</v>
      </c>
      <c r="H64" s="7">
        <f>IF(F64&gt;0,G64/F64,"n/a")</f>
        <v>1.101</v>
      </c>
      <c r="I64" s="6">
        <v>0</v>
      </c>
      <c r="J64" s="5" t="s">
        <v>26</v>
      </c>
      <c r="K64" s="6">
        <v>6</v>
      </c>
      <c r="L64" s="6">
        <v>6</v>
      </c>
      <c r="M64" s="7">
        <f>IF(K64&gt;0,L64/K64,"n/a")</f>
        <v>1.0</v>
      </c>
      <c r="N64" s="8">
        <f>IF(AND(F64&gt;0,K64&gt;0),(H64-M64)*100,"n/a")</f>
        <v>10.1</v>
      </c>
      <c r="O64" s="5" t="s">
        <v>20</v>
      </c>
    </row>
    <row r="65" spans="1:15">
      <c r="A65" s="5" t="s">
        <v>15</v>
      </c>
      <c r="B65" s="5" t="s">
        <v>144</v>
      </c>
      <c r="C65" s="5" t="s">
        <v>145</v>
      </c>
      <c r="D65" s="5" t="s">
        <v>158</v>
      </c>
      <c r="E65" s="5" t="s">
        <v>159</v>
      </c>
      <c r="F65" s="6">
        <v>17</v>
      </c>
      <c r="G65" s="6">
        <v>21</v>
      </c>
      <c r="H65" s="7">
        <f>IF(F65&gt;0,G65/F65,"n/a")</f>
        <v>1.235</v>
      </c>
      <c r="I65" s="6">
        <v>0</v>
      </c>
      <c r="J65" s="5" t="s">
        <v>26</v>
      </c>
      <c r="K65" s="6">
        <v>12</v>
      </c>
      <c r="L65" s="6">
        <v>12</v>
      </c>
      <c r="M65" s="7">
        <f>IF(K65&gt;0,L65/K65,"n/a")</f>
        <v>1.0</v>
      </c>
      <c r="N65" s="8">
        <f>IF(AND(F65&gt;0,K65&gt;0),(H65-M65)*100,"n/a")</f>
        <v>23.5</v>
      </c>
      <c r="O65" s="5" t="s">
        <v>20</v>
      </c>
    </row>
    <row r="66" spans="1:15">
      <c r="A66" s="5" t="s">
        <v>15</v>
      </c>
      <c r="B66" s="5" t="s">
        <v>144</v>
      </c>
      <c r="C66" s="5" t="s">
        <v>160</v>
      </c>
      <c r="D66" s="5" t="s">
        <v>161</v>
      </c>
      <c r="E66" s="5" t="s">
        <v>162</v>
      </c>
      <c r="F66" s="6">
        <v>171</v>
      </c>
      <c r="G66" s="6">
        <v>171</v>
      </c>
      <c r="H66" s="7">
        <f>IF(F66&gt;0,G66/F66,"n/a")</f>
        <v>1.0</v>
      </c>
      <c r="I66" s="6">
        <v>0</v>
      </c>
      <c r="J66" s="5" t="s">
        <v>19</v>
      </c>
      <c r="K66" s="6">
        <v>78</v>
      </c>
      <c r="L66" s="6">
        <v>78</v>
      </c>
      <c r="M66" s="7">
        <f>IF(K66&gt;0,L66/K66,"n/a")</f>
        <v>1.0</v>
      </c>
      <c r="N66" s="8">
        <f>IF(AND(F66&gt;0,K66&gt;0),(H66-M66)*100,"n/a")</f>
        <v>0.0</v>
      </c>
      <c r="O66" s="5" t="s">
        <v>20</v>
      </c>
    </row>
    <row r="67" spans="1:15">
      <c r="A67" s="5" t="s">
        <v>15</v>
      </c>
      <c r="B67" s="5" t="s">
        <v>144</v>
      </c>
      <c r="C67" s="5" t="s">
        <v>160</v>
      </c>
      <c r="D67" s="5" t="s">
        <v>163</v>
      </c>
      <c r="E67" s="5" t="s">
        <v>164</v>
      </c>
      <c r="F67" s="6">
        <v>217</v>
      </c>
      <c r="G67" s="6">
        <v>233</v>
      </c>
      <c r="H67" s="7">
        <f>IF(F67&gt;0,G67/F67,"n/a")</f>
        <v>1.074</v>
      </c>
      <c r="I67" s="6">
        <v>0</v>
      </c>
      <c r="J67" s="5" t="s">
        <v>19</v>
      </c>
      <c r="K67" s="6">
        <v>112</v>
      </c>
      <c r="L67" s="6">
        <v>112</v>
      </c>
      <c r="M67" s="7">
        <f>IF(K67&gt;0,L67/K67,"n/a")</f>
        <v>1.0</v>
      </c>
      <c r="N67" s="8">
        <f>IF(AND(F67&gt;0,K67&gt;0),(H67-M67)*100,"n/a")</f>
        <v>7.4</v>
      </c>
      <c r="O67" s="5" t="s">
        <v>20</v>
      </c>
    </row>
    <row r="68" spans="1:15">
      <c r="A68" s="5" t="s">
        <v>15</v>
      </c>
      <c r="B68" s="5" t="s">
        <v>144</v>
      </c>
      <c r="C68" s="5" t="s">
        <v>160</v>
      </c>
      <c r="D68" s="5" t="s">
        <v>165</v>
      </c>
      <c r="E68" s="5" t="s">
        <v>166</v>
      </c>
      <c r="F68" s="6">
        <v>110</v>
      </c>
      <c r="G68" s="6">
        <v>84</v>
      </c>
      <c r="H68" s="7">
        <f>IF(F68&gt;0,G68/F68,"n/a")</f>
        <v>0.764</v>
      </c>
      <c r="I68" s="6">
        <v>0</v>
      </c>
      <c r="J68" s="5" t="s">
        <v>45</v>
      </c>
      <c r="K68" s="6">
        <v>57</v>
      </c>
      <c r="L68" s="6">
        <v>57</v>
      </c>
      <c r="M68" s="7">
        <f>IF(K68&gt;0,L68/K68,"n/a")</f>
        <v>1.0</v>
      </c>
      <c r="N68" s="8">
        <f>IF(AND(F68&gt;0,K68&gt;0),(H68-M68)*100,"n/a")</f>
        <v>-23.6</v>
      </c>
      <c r="O68" s="5" t="s">
        <v>68</v>
      </c>
    </row>
    <row r="69" spans="1:15">
      <c r="A69" s="5" t="s">
        <v>15</v>
      </c>
      <c r="B69" s="5" t="s">
        <v>144</v>
      </c>
      <c r="C69" s="5" t="s">
        <v>160</v>
      </c>
      <c r="D69" s="5" t="s">
        <v>167</v>
      </c>
      <c r="E69" s="5" t="s">
        <v>168</v>
      </c>
      <c r="F69" s="6">
        <v>154</v>
      </c>
      <c r="G69" s="6">
        <v>154</v>
      </c>
      <c r="H69" s="7">
        <f>IF(F69&gt;0,G69/F69,"n/a")</f>
        <v>1.0</v>
      </c>
      <c r="I69" s="6">
        <v>0</v>
      </c>
      <c r="J69" s="5" t="s">
        <v>19</v>
      </c>
      <c r="K69" s="6">
        <v>93</v>
      </c>
      <c r="L69" s="6">
        <v>93</v>
      </c>
      <c r="M69" s="7">
        <f>IF(K69&gt;0,L69/K69,"n/a")</f>
        <v>1.0</v>
      </c>
      <c r="N69" s="8">
        <f>IF(AND(F69&gt;0,K69&gt;0),(H69-M69)*100,"n/a")</f>
        <v>0.0</v>
      </c>
      <c r="O69" s="5" t="s">
        <v>20</v>
      </c>
    </row>
    <row r="70" spans="1:15">
      <c r="A70" s="5" t="s">
        <v>15</v>
      </c>
      <c r="B70" s="5" t="s">
        <v>144</v>
      </c>
      <c r="C70" s="5" t="s">
        <v>160</v>
      </c>
      <c r="D70" s="5" t="s">
        <v>169</v>
      </c>
      <c r="E70" s="5" t="s">
        <v>170</v>
      </c>
      <c r="F70" s="6">
        <v>66</v>
      </c>
      <c r="G70" s="6">
        <v>67</v>
      </c>
      <c r="H70" s="7">
        <f>IF(F70&gt;0,G70/F70,"n/a")</f>
        <v>1.015</v>
      </c>
      <c r="I70" s="6">
        <v>0</v>
      </c>
      <c r="J70" s="5" t="s">
        <v>19</v>
      </c>
      <c r="K70" s="6">
        <v>38</v>
      </c>
      <c r="L70" s="6">
        <v>38</v>
      </c>
      <c r="M70" s="7">
        <f>IF(K70&gt;0,L70/K70,"n/a")</f>
        <v>1.0</v>
      </c>
      <c r="N70" s="8">
        <f>IF(AND(F70&gt;0,K70&gt;0),(H70-M70)*100,"n/a")</f>
        <v>1.5</v>
      </c>
      <c r="O70" s="5" t="s">
        <v>20</v>
      </c>
    </row>
    <row r="71" spans="1:15">
      <c r="A71" s="5" t="s">
        <v>15</v>
      </c>
      <c r="B71" s="5" t="s">
        <v>144</v>
      </c>
      <c r="C71" s="5" t="s">
        <v>160</v>
      </c>
      <c r="D71" s="5" t="s">
        <v>171</v>
      </c>
      <c r="E71" s="5" t="s">
        <v>172</v>
      </c>
      <c r="F71" s="6">
        <v>51</v>
      </c>
      <c r="G71" s="6">
        <v>51</v>
      </c>
      <c r="H71" s="7">
        <f>IF(F71&gt;0,G71/F71,"n/a")</f>
        <v>1.0</v>
      </c>
      <c r="I71" s="6">
        <v>0</v>
      </c>
      <c r="J71" s="5" t="s">
        <v>19</v>
      </c>
      <c r="K71" s="6">
        <v>22</v>
      </c>
      <c r="L71" s="6">
        <v>22</v>
      </c>
      <c r="M71" s="7">
        <f>IF(K71&gt;0,L71/K71,"n/a")</f>
        <v>1.0</v>
      </c>
      <c r="N71" s="8">
        <f>IF(AND(F71&gt;0,K71&gt;0),(H71-M71)*100,"n/a")</f>
        <v>0.0</v>
      </c>
      <c r="O71" s="5" t="s">
        <v>20</v>
      </c>
    </row>
    <row r="72" spans="1:15">
      <c r="A72" s="5" t="s">
        <v>15</v>
      </c>
      <c r="B72" s="5" t="s">
        <v>144</v>
      </c>
      <c r="C72" s="5" t="s">
        <v>160</v>
      </c>
      <c r="D72" s="5" t="s">
        <v>173</v>
      </c>
      <c r="E72" s="5" t="s">
        <v>174</v>
      </c>
      <c r="F72" s="6">
        <v>87</v>
      </c>
      <c r="G72" s="6">
        <v>89</v>
      </c>
      <c r="H72" s="7">
        <f>IF(F72&gt;0,G72/F72,"n/a")</f>
        <v>1.023</v>
      </c>
      <c r="I72" s="6">
        <v>0</v>
      </c>
      <c r="J72" s="5" t="s">
        <v>19</v>
      </c>
      <c r="K72" s="6">
        <v>44</v>
      </c>
      <c r="L72" s="6">
        <v>44</v>
      </c>
      <c r="M72" s="7">
        <f>IF(K72&gt;0,L72/K72,"n/a")</f>
        <v>1.0</v>
      </c>
      <c r="N72" s="8">
        <f>IF(AND(F72&gt;0,K72&gt;0),(H72-M72)*100,"n/a")</f>
        <v>2.3</v>
      </c>
      <c r="O72" s="5" t="s">
        <v>20</v>
      </c>
    </row>
    <row r="73" spans="1:15">
      <c r="A73" s="5" t="s">
        <v>15</v>
      </c>
      <c r="B73" s="5" t="s">
        <v>144</v>
      </c>
      <c r="C73" s="5" t="s">
        <v>160</v>
      </c>
      <c r="D73" s="5" t="s">
        <v>175</v>
      </c>
      <c r="E73" s="5" t="s">
        <v>176</v>
      </c>
      <c r="F73" s="6">
        <v>52</v>
      </c>
      <c r="G73" s="6">
        <v>52</v>
      </c>
      <c r="H73" s="7">
        <f>IF(F73&gt;0,G73/F73,"n/a")</f>
        <v>1.0</v>
      </c>
      <c r="I73" s="6">
        <v>0</v>
      </c>
      <c r="J73" s="5" t="s">
        <v>19</v>
      </c>
      <c r="K73" s="6">
        <v>14</v>
      </c>
      <c r="L73" s="6">
        <v>14</v>
      </c>
      <c r="M73" s="7">
        <f>IF(K73&gt;0,L73/K73,"n/a")</f>
        <v>1.0</v>
      </c>
      <c r="N73" s="8">
        <f>IF(AND(F73&gt;0,K73&gt;0),(H73-M73)*100,"n/a")</f>
        <v>0.0</v>
      </c>
      <c r="O73" s="5" t="s">
        <v>20</v>
      </c>
    </row>
    <row r="74" spans="1:15">
      <c r="A74" s="5" t="s">
        <v>15</v>
      </c>
      <c r="B74" s="5" t="s">
        <v>144</v>
      </c>
      <c r="C74" s="5" t="s">
        <v>160</v>
      </c>
      <c r="D74" s="5" t="s">
        <v>177</v>
      </c>
      <c r="E74" s="5" t="s">
        <v>178</v>
      </c>
      <c r="F74" s="6">
        <v>47</v>
      </c>
      <c r="G74" s="6">
        <v>47</v>
      </c>
      <c r="H74" s="7">
        <f>IF(F74&gt;0,G74/F74,"n/a")</f>
        <v>1.0</v>
      </c>
      <c r="I74" s="6">
        <v>0</v>
      </c>
      <c r="J74" s="5" t="s">
        <v>19</v>
      </c>
      <c r="K74" s="6">
        <v>33</v>
      </c>
      <c r="L74" s="6">
        <v>33</v>
      </c>
      <c r="M74" s="7">
        <f>IF(K74&gt;0,L74/K74,"n/a")</f>
        <v>1.0</v>
      </c>
      <c r="N74" s="8">
        <f>IF(AND(F74&gt;0,K74&gt;0),(H74-M74)*100,"n/a")</f>
        <v>0.0</v>
      </c>
      <c r="O74" s="5" t="s">
        <v>20</v>
      </c>
    </row>
    <row r="75" spans="1:15">
      <c r="A75" s="5" t="s">
        <v>15</v>
      </c>
      <c r="B75" s="5" t="s">
        <v>144</v>
      </c>
      <c r="C75" s="5" t="s">
        <v>160</v>
      </c>
      <c r="D75" s="5" t="s">
        <v>179</v>
      </c>
      <c r="E75" s="5" t="s">
        <v>180</v>
      </c>
      <c r="F75" s="6">
        <v>78</v>
      </c>
      <c r="G75" s="6">
        <v>78</v>
      </c>
      <c r="H75" s="7">
        <f>IF(F75&gt;0,G75/F75,"n/a")</f>
        <v>1.0</v>
      </c>
      <c r="I75" s="6">
        <v>0</v>
      </c>
      <c r="J75" s="5" t="s">
        <v>19</v>
      </c>
      <c r="K75" s="6">
        <v>44</v>
      </c>
      <c r="L75" s="6">
        <v>44</v>
      </c>
      <c r="M75" s="7">
        <f>IF(K75&gt;0,L75/K75,"n/a")</f>
        <v>1.0</v>
      </c>
      <c r="N75" s="8">
        <f>IF(AND(F75&gt;0,K75&gt;0),(H75-M75)*100,"n/a")</f>
        <v>0.0</v>
      </c>
      <c r="O75" s="5" t="s">
        <v>20</v>
      </c>
    </row>
    <row r="76" spans="1:15">
      <c r="A76" s="5" t="s">
        <v>15</v>
      </c>
      <c r="B76" s="5" t="s">
        <v>144</v>
      </c>
      <c r="C76" s="5" t="s">
        <v>160</v>
      </c>
      <c r="D76" s="5" t="s">
        <v>181</v>
      </c>
      <c r="E76" s="5" t="s">
        <v>182</v>
      </c>
      <c r="F76" s="6">
        <v>68</v>
      </c>
      <c r="G76" s="6">
        <v>73</v>
      </c>
      <c r="H76" s="7">
        <f>IF(F76&gt;0,G76/F76,"n/a")</f>
        <v>1.074</v>
      </c>
      <c r="I76" s="6">
        <v>0</v>
      </c>
      <c r="J76" s="5" t="s">
        <v>19</v>
      </c>
      <c r="K76" s="6">
        <v>30</v>
      </c>
      <c r="L76" s="6">
        <v>30</v>
      </c>
      <c r="M76" s="7">
        <f>IF(K76&gt;0,L76/K76,"n/a")</f>
        <v>1.0</v>
      </c>
      <c r="N76" s="8">
        <f>IF(AND(F76&gt;0,K76&gt;0),(H76-M76)*100,"n/a")</f>
        <v>7.4</v>
      </c>
      <c r="O76" s="5" t="s">
        <v>20</v>
      </c>
    </row>
    <row r="77" spans="1:15">
      <c r="A77" s="5" t="s">
        <v>15</v>
      </c>
      <c r="B77" s="5" t="s">
        <v>144</v>
      </c>
      <c r="C77" s="5" t="s">
        <v>183</v>
      </c>
      <c r="D77" s="5" t="s">
        <v>184</v>
      </c>
      <c r="E77" s="5" t="s">
        <v>185</v>
      </c>
      <c r="F77" s="6">
        <v>174</v>
      </c>
      <c r="G77" s="6">
        <v>174</v>
      </c>
      <c r="H77" s="7">
        <f>IF(F77&gt;0,G77/F77,"n/a")</f>
        <v>1.0</v>
      </c>
      <c r="I77" s="6">
        <v>0</v>
      </c>
      <c r="J77" s="5" t="s">
        <v>19</v>
      </c>
      <c r="K77" s="6">
        <v>80</v>
      </c>
      <c r="L77" s="6">
        <v>80</v>
      </c>
      <c r="M77" s="7">
        <f>IF(K77&gt;0,L77/K77,"n/a")</f>
        <v>1.0</v>
      </c>
      <c r="N77" s="8">
        <f>IF(AND(F77&gt;0,K77&gt;0),(H77-M77)*100,"n/a")</f>
        <v>0.0</v>
      </c>
      <c r="O77" s="5" t="s">
        <v>20</v>
      </c>
    </row>
    <row r="78" spans="1:15">
      <c r="A78" s="5" t="s">
        <v>15</v>
      </c>
      <c r="B78" s="5" t="s">
        <v>144</v>
      </c>
      <c r="C78" s="5" t="s">
        <v>183</v>
      </c>
      <c r="D78" s="5" t="s">
        <v>186</v>
      </c>
      <c r="E78" s="5" t="s">
        <v>187</v>
      </c>
      <c r="F78" s="6">
        <v>85</v>
      </c>
      <c r="G78" s="6">
        <v>47</v>
      </c>
      <c r="H78" s="7">
        <f>IF(F78&gt;0,G78/F78,"n/a")</f>
        <v>0.5529999999999999</v>
      </c>
      <c r="I78" s="6">
        <v>0</v>
      </c>
      <c r="J78" s="5" t="s">
        <v>45</v>
      </c>
      <c r="K78" s="6">
        <v>51</v>
      </c>
      <c r="L78" s="6">
        <v>51</v>
      </c>
      <c r="M78" s="7">
        <f>IF(K78&gt;0,L78/K78,"n/a")</f>
        <v>1.0</v>
      </c>
      <c r="N78" s="8">
        <f>IF(AND(F78&gt;0,K78&gt;0),(H78-M78)*100,"n/a")</f>
        <v>-44.7</v>
      </c>
      <c r="O78" s="5" t="s">
        <v>68</v>
      </c>
    </row>
    <row r="79" spans="1:15">
      <c r="A79" s="5" t="s">
        <v>15</v>
      </c>
      <c r="B79" s="5" t="s">
        <v>144</v>
      </c>
      <c r="C79" s="5" t="s">
        <v>183</v>
      </c>
      <c r="D79" s="5" t="s">
        <v>188</v>
      </c>
      <c r="E79" s="5" t="s">
        <v>189</v>
      </c>
      <c r="F79" s="6">
        <v>110</v>
      </c>
      <c r="G79" s="6">
        <v>86</v>
      </c>
      <c r="H79" s="7">
        <f>IF(F79&gt;0,G79/F79,"n/a")</f>
        <v>0.782</v>
      </c>
      <c r="I79" s="6">
        <v>0</v>
      </c>
      <c r="J79" s="5" t="s">
        <v>45</v>
      </c>
      <c r="K79" s="6">
        <v>58</v>
      </c>
      <c r="L79" s="6">
        <v>58</v>
      </c>
      <c r="M79" s="7">
        <f>IF(K79&gt;0,L79/K79,"n/a")</f>
        <v>1.0</v>
      </c>
      <c r="N79" s="8">
        <f>IF(AND(F79&gt;0,K79&gt;0),(H79-M79)*100,"n/a")</f>
        <v>-21.8</v>
      </c>
      <c r="O79" s="5" t="s">
        <v>68</v>
      </c>
    </row>
    <row r="80" spans="1:15">
      <c r="A80" s="5" t="s">
        <v>15</v>
      </c>
      <c r="B80" s="5" t="s">
        <v>144</v>
      </c>
      <c r="C80" s="5" t="s">
        <v>183</v>
      </c>
      <c r="D80" s="5" t="s">
        <v>190</v>
      </c>
      <c r="E80" s="5" t="s">
        <v>191</v>
      </c>
      <c r="F80" s="6">
        <v>85</v>
      </c>
      <c r="G80" s="6">
        <v>92</v>
      </c>
      <c r="H80" s="7">
        <f>IF(F80&gt;0,G80/F80,"n/a")</f>
        <v>1.082</v>
      </c>
      <c r="I80" s="6">
        <v>0</v>
      </c>
      <c r="J80" s="5" t="s">
        <v>19</v>
      </c>
      <c r="K80" s="6">
        <v>44</v>
      </c>
      <c r="L80" s="6">
        <v>44</v>
      </c>
      <c r="M80" s="7">
        <f>IF(K80&gt;0,L80/K80,"n/a")</f>
        <v>1.0</v>
      </c>
      <c r="N80" s="8">
        <f>IF(AND(F80&gt;0,K80&gt;0),(H80-M80)*100,"n/a")</f>
        <v>8.2</v>
      </c>
      <c r="O80" s="5" t="s">
        <v>20</v>
      </c>
    </row>
    <row r="81" spans="1:15">
      <c r="A81" s="5" t="s">
        <v>15</v>
      </c>
      <c r="B81" s="5" t="s">
        <v>144</v>
      </c>
      <c r="C81" s="5" t="s">
        <v>183</v>
      </c>
      <c r="D81" s="5" t="s">
        <v>192</v>
      </c>
      <c r="E81" s="5" t="s">
        <v>193</v>
      </c>
      <c r="F81" s="6">
        <v>138</v>
      </c>
      <c r="G81" s="6">
        <v>110</v>
      </c>
      <c r="H81" s="7">
        <f>IF(F81&gt;0,G81/F81,"n/a")</f>
        <v>0.797</v>
      </c>
      <c r="I81" s="6">
        <v>0</v>
      </c>
      <c r="J81" s="5" t="s">
        <v>45</v>
      </c>
      <c r="K81" s="6">
        <v>87</v>
      </c>
      <c r="L81" s="6">
        <v>87</v>
      </c>
      <c r="M81" s="7">
        <f>IF(K81&gt;0,L81/K81,"n/a")</f>
        <v>1.0</v>
      </c>
      <c r="N81" s="8">
        <f>IF(AND(F81&gt;0,K81&gt;0),(H81-M81)*100,"n/a")</f>
        <v>-20.3</v>
      </c>
      <c r="O81" s="5" t="s">
        <v>68</v>
      </c>
    </row>
    <row r="82" spans="1:15">
      <c r="A82" s="5" t="s">
        <v>15</v>
      </c>
      <c r="B82" s="5" t="s">
        <v>144</v>
      </c>
      <c r="C82" s="5" t="s">
        <v>183</v>
      </c>
      <c r="D82" s="5" t="s">
        <v>194</v>
      </c>
      <c r="E82" s="5" t="s">
        <v>195</v>
      </c>
      <c r="F82" s="6">
        <v>178</v>
      </c>
      <c r="G82" s="6">
        <v>178</v>
      </c>
      <c r="H82" s="7">
        <f>IF(F82&gt;0,G82/F82,"n/a")</f>
        <v>1.0</v>
      </c>
      <c r="I82" s="6">
        <v>0</v>
      </c>
      <c r="J82" s="5" t="s">
        <v>19</v>
      </c>
      <c r="K82" s="6">
        <v>81</v>
      </c>
      <c r="L82" s="6">
        <v>81</v>
      </c>
      <c r="M82" s="7">
        <f>IF(K82&gt;0,L82/K82,"n/a")</f>
        <v>1.0</v>
      </c>
      <c r="N82" s="8">
        <f>IF(AND(F82&gt;0,K82&gt;0),(H82-M82)*100,"n/a")</f>
        <v>0.0</v>
      </c>
      <c r="O82" s="5" t="s">
        <v>20</v>
      </c>
    </row>
    <row r="83" spans="1:15">
      <c r="A83" s="5" t="s">
        <v>15</v>
      </c>
      <c r="B83" s="5" t="s">
        <v>144</v>
      </c>
      <c r="C83" s="5" t="s">
        <v>183</v>
      </c>
      <c r="D83" s="5" t="s">
        <v>196</v>
      </c>
      <c r="E83" s="5" t="s">
        <v>197</v>
      </c>
      <c r="F83" s="6">
        <v>120</v>
      </c>
      <c r="G83" s="6">
        <v>122</v>
      </c>
      <c r="H83" s="7">
        <f>IF(F83&gt;0,G83/F83,"n/a")</f>
        <v>1.0170000000000001</v>
      </c>
      <c r="I83" s="6">
        <v>0</v>
      </c>
      <c r="J83" s="5" t="s">
        <v>19</v>
      </c>
      <c r="K83" s="6">
        <v>99</v>
      </c>
      <c r="L83" s="6">
        <v>99</v>
      </c>
      <c r="M83" s="7">
        <f>IF(K83&gt;0,L83/K83,"n/a")</f>
        <v>1.0</v>
      </c>
      <c r="N83" s="8">
        <f>IF(AND(F83&gt;0,K83&gt;0),(H83-M83)*100,"n/a")</f>
        <v>1.7</v>
      </c>
      <c r="O83" s="5" t="s">
        <v>20</v>
      </c>
    </row>
    <row r="84" spans="1:15">
      <c r="A84" s="5" t="s">
        <v>15</v>
      </c>
      <c r="B84" s="5" t="s">
        <v>144</v>
      </c>
      <c r="C84" s="5" t="s">
        <v>183</v>
      </c>
      <c r="D84" s="5" t="s">
        <v>198</v>
      </c>
      <c r="E84" s="5" t="s">
        <v>199</v>
      </c>
      <c r="F84" s="6">
        <v>88</v>
      </c>
      <c r="G84" s="6">
        <v>88</v>
      </c>
      <c r="H84" s="7">
        <f>IF(F84&gt;0,G84/F84,"n/a")</f>
        <v>1.0</v>
      </c>
      <c r="I84" s="6">
        <v>0</v>
      </c>
      <c r="J84" s="5" t="s">
        <v>19</v>
      </c>
      <c r="K84" s="6">
        <v>53</v>
      </c>
      <c r="L84" s="6">
        <v>53</v>
      </c>
      <c r="M84" s="7">
        <f>IF(K84&gt;0,L84/K84,"n/a")</f>
        <v>1.0</v>
      </c>
      <c r="N84" s="8">
        <f>IF(AND(F84&gt;0,K84&gt;0),(H84-M84)*100,"n/a")</f>
        <v>0.0</v>
      </c>
      <c r="O84" s="5" t="s">
        <v>20</v>
      </c>
    </row>
    <row r="85" spans="1:15">
      <c r="A85" s="5" t="s">
        <v>15</v>
      </c>
      <c r="B85" s="5" t="s">
        <v>144</v>
      </c>
      <c r="C85" s="5" t="s">
        <v>183</v>
      </c>
      <c r="D85" s="5" t="s">
        <v>200</v>
      </c>
      <c r="E85" s="5" t="s">
        <v>201</v>
      </c>
      <c r="F85" s="6">
        <v>172</v>
      </c>
      <c r="G85" s="6">
        <v>172</v>
      </c>
      <c r="H85" s="7">
        <f>IF(F85&gt;0,G85/F85,"n/a")</f>
        <v>1.0</v>
      </c>
      <c r="I85" s="6">
        <v>0</v>
      </c>
      <c r="J85" s="5" t="s">
        <v>19</v>
      </c>
      <c r="K85" s="6">
        <v>72</v>
      </c>
      <c r="L85" s="6">
        <v>72</v>
      </c>
      <c r="M85" s="7">
        <f>IF(K85&gt;0,L85/K85,"n/a")</f>
        <v>1.0</v>
      </c>
      <c r="N85" s="8">
        <f>IF(AND(F85&gt;0,K85&gt;0),(H85-M85)*100,"n/a")</f>
        <v>0.0</v>
      </c>
      <c r="O85" s="5" t="s">
        <v>20</v>
      </c>
    </row>
    <row r="86" spans="1:15">
      <c r="A86" s="5" t="s">
        <v>15</v>
      </c>
      <c r="B86" s="5" t="s">
        <v>144</v>
      </c>
      <c r="C86" s="5" t="s">
        <v>183</v>
      </c>
      <c r="D86" s="5" t="s">
        <v>202</v>
      </c>
      <c r="E86" s="5" t="s">
        <v>203</v>
      </c>
      <c r="F86" s="6">
        <v>99</v>
      </c>
      <c r="G86" s="6">
        <v>100</v>
      </c>
      <c r="H86" s="7">
        <f>IF(F86&gt;0,G86/F86,"n/a")</f>
        <v>1.01</v>
      </c>
      <c r="I86" s="6">
        <v>0</v>
      </c>
      <c r="J86" s="5" t="s">
        <v>19</v>
      </c>
      <c r="K86" s="6">
        <v>41</v>
      </c>
      <c r="L86" s="6">
        <v>41</v>
      </c>
      <c r="M86" s="7">
        <f>IF(K86&gt;0,L86/K86,"n/a")</f>
        <v>1.0</v>
      </c>
      <c r="N86" s="8">
        <f>IF(AND(F86&gt;0,K86&gt;0),(H86-M86)*100,"n/a")</f>
        <v>1.0</v>
      </c>
      <c r="O86" s="5" t="s">
        <v>20</v>
      </c>
    </row>
    <row r="87" spans="1:15">
      <c r="A87" s="5" t="s">
        <v>15</v>
      </c>
      <c r="B87" s="5" t="s">
        <v>144</v>
      </c>
      <c r="C87" s="5" t="s">
        <v>183</v>
      </c>
      <c r="D87" s="5" t="s">
        <v>204</v>
      </c>
      <c r="E87" s="5" t="s">
        <v>205</v>
      </c>
      <c r="F87" s="6">
        <v>197</v>
      </c>
      <c r="G87" s="6">
        <v>197</v>
      </c>
      <c r="H87" s="7">
        <f>IF(F87&gt;0,G87/F87,"n/a")</f>
        <v>1.0</v>
      </c>
      <c r="I87" s="6">
        <v>0</v>
      </c>
      <c r="J87" s="5" t="s">
        <v>19</v>
      </c>
      <c r="K87" s="6">
        <v>183</v>
      </c>
      <c r="L87" s="6">
        <v>183</v>
      </c>
      <c r="M87" s="7">
        <f>IF(K87&gt;0,L87/K87,"n/a")</f>
        <v>1.0</v>
      </c>
      <c r="N87" s="8">
        <f>IF(AND(F87&gt;0,K87&gt;0),(H87-M87)*100,"n/a")</f>
        <v>0.0</v>
      </c>
      <c r="O87" s="5" t="s">
        <v>20</v>
      </c>
    </row>
    <row r="88" spans="1:15">
      <c r="A88" s="5" t="s">
        <v>15</v>
      </c>
      <c r="B88" s="5" t="s">
        <v>144</v>
      </c>
      <c r="C88" s="5" t="s">
        <v>206</v>
      </c>
      <c r="D88" s="5" t="s">
        <v>207</v>
      </c>
      <c r="E88" s="5" t="s">
        <v>208</v>
      </c>
      <c r="F88" s="6">
        <v>142</v>
      </c>
      <c r="G88" s="6">
        <v>142</v>
      </c>
      <c r="H88" s="7">
        <f>IF(F88&gt;0,G88/F88,"n/a")</f>
        <v>1.0</v>
      </c>
      <c r="I88" s="6">
        <v>0</v>
      </c>
      <c r="J88" s="5" t="s">
        <v>19</v>
      </c>
      <c r="K88" s="6">
        <v>60</v>
      </c>
      <c r="L88" s="6">
        <v>60</v>
      </c>
      <c r="M88" s="7">
        <f>IF(K88&gt;0,L88/K88,"n/a")</f>
        <v>1.0</v>
      </c>
      <c r="N88" s="8">
        <f>IF(AND(F88&gt;0,K88&gt;0),(H88-M88)*100,"n/a")</f>
        <v>0.0</v>
      </c>
      <c r="O88" s="5" t="s">
        <v>20</v>
      </c>
    </row>
    <row r="89" spans="1:15">
      <c r="A89" s="5" t="s">
        <v>15</v>
      </c>
      <c r="B89" s="5" t="s">
        <v>144</v>
      </c>
      <c r="C89" s="5" t="s">
        <v>206</v>
      </c>
      <c r="D89" s="5" t="s">
        <v>209</v>
      </c>
      <c r="E89" s="5" t="s">
        <v>210</v>
      </c>
      <c r="F89" s="6">
        <v>120</v>
      </c>
      <c r="G89" s="6">
        <v>146</v>
      </c>
      <c r="H89" s="7">
        <f>IF(F89&gt;0,G89/F89,"n/a")</f>
        <v>1.217</v>
      </c>
      <c r="I89" s="6">
        <v>0</v>
      </c>
      <c r="J89" s="5" t="s">
        <v>26</v>
      </c>
      <c r="K89" s="6">
        <v>60</v>
      </c>
      <c r="L89" s="6">
        <v>60</v>
      </c>
      <c r="M89" s="7">
        <f>IF(K89&gt;0,L89/K89,"n/a")</f>
        <v>1.0</v>
      </c>
      <c r="N89" s="8">
        <f>IF(AND(F89&gt;0,K89&gt;0),(H89-M89)*100,"n/a")</f>
        <v>21.7</v>
      </c>
      <c r="O89" s="5" t="s">
        <v>20</v>
      </c>
    </row>
    <row r="90" spans="1:15">
      <c r="A90" s="5" t="s">
        <v>15</v>
      </c>
      <c r="B90" s="5" t="s">
        <v>144</v>
      </c>
      <c r="C90" s="5" t="s">
        <v>206</v>
      </c>
      <c r="D90" s="5" t="s">
        <v>211</v>
      </c>
      <c r="E90" s="5" t="s">
        <v>212</v>
      </c>
      <c r="F90" s="6">
        <v>110</v>
      </c>
      <c r="G90" s="6">
        <v>115</v>
      </c>
      <c r="H90" s="7">
        <f>IF(F90&gt;0,G90/F90,"n/a")</f>
        <v>1.045</v>
      </c>
      <c r="I90" s="6">
        <v>0</v>
      </c>
      <c r="J90" s="5" t="s">
        <v>19</v>
      </c>
      <c r="K90" s="6">
        <v>57</v>
      </c>
      <c r="L90" s="6">
        <v>57</v>
      </c>
      <c r="M90" s="7">
        <f>IF(K90&gt;0,L90/K90,"n/a")</f>
        <v>1.0</v>
      </c>
      <c r="N90" s="8">
        <f>IF(AND(F90&gt;0,K90&gt;0),(H90-M90)*100,"n/a")</f>
        <v>4.5</v>
      </c>
      <c r="O90" s="5" t="s">
        <v>20</v>
      </c>
    </row>
    <row r="91" spans="1:15">
      <c r="A91" s="5" t="s">
        <v>15</v>
      </c>
      <c r="B91" s="5" t="s">
        <v>144</v>
      </c>
      <c r="C91" s="5" t="s">
        <v>206</v>
      </c>
      <c r="D91" s="5" t="s">
        <v>213</v>
      </c>
      <c r="E91" s="5" t="s">
        <v>214</v>
      </c>
      <c r="F91" s="6">
        <v>55</v>
      </c>
      <c r="G91" s="6">
        <v>32</v>
      </c>
      <c r="H91" s="7">
        <f>IF(F91&gt;0,G91/F91,"n/a")</f>
        <v>0.5820000000000001</v>
      </c>
      <c r="I91" s="6">
        <v>0</v>
      </c>
      <c r="J91" s="5" t="s">
        <v>45</v>
      </c>
      <c r="K91" s="6">
        <v>40</v>
      </c>
      <c r="L91" s="6">
        <v>40</v>
      </c>
      <c r="M91" s="7">
        <f>IF(K91&gt;0,L91/K91,"n/a")</f>
        <v>1.0</v>
      </c>
      <c r="N91" s="8">
        <f>IF(AND(F91&gt;0,K91&gt;0),(H91-M91)*100,"n/a")</f>
        <v>-41.8</v>
      </c>
      <c r="O91" s="5" t="s">
        <v>68</v>
      </c>
    </row>
    <row r="92" spans="1:15">
      <c r="A92" s="5" t="s">
        <v>15</v>
      </c>
      <c r="B92" s="5" t="s">
        <v>144</v>
      </c>
      <c r="C92" s="5" t="s">
        <v>206</v>
      </c>
      <c r="D92" s="5" t="s">
        <v>215</v>
      </c>
      <c r="E92" s="5" t="s">
        <v>216</v>
      </c>
      <c r="F92" s="6">
        <v>160</v>
      </c>
      <c r="G92" s="6">
        <v>160</v>
      </c>
      <c r="H92" s="7">
        <f>IF(F92&gt;0,G92/F92,"n/a")</f>
        <v>1.0</v>
      </c>
      <c r="I92" s="6">
        <v>0</v>
      </c>
      <c r="J92" s="5" t="s">
        <v>19</v>
      </c>
      <c r="K92" s="6">
        <v>56</v>
      </c>
      <c r="L92" s="6">
        <v>56</v>
      </c>
      <c r="M92" s="7">
        <f>IF(K92&gt;0,L92/K92,"n/a")</f>
        <v>1.0</v>
      </c>
      <c r="N92" s="8">
        <f>IF(AND(F92&gt;0,K92&gt;0),(H92-M92)*100,"n/a")</f>
        <v>0.0</v>
      </c>
      <c r="O92" s="5" t="s">
        <v>20</v>
      </c>
    </row>
    <row r="93" spans="1:15">
      <c r="A93" s="5" t="s">
        <v>15</v>
      </c>
      <c r="B93" s="5" t="s">
        <v>144</v>
      </c>
      <c r="C93" s="5" t="s">
        <v>206</v>
      </c>
      <c r="D93" s="5" t="s">
        <v>217</v>
      </c>
      <c r="E93" s="5" t="s">
        <v>218</v>
      </c>
      <c r="F93" s="6">
        <v>209</v>
      </c>
      <c r="G93" s="6">
        <v>209</v>
      </c>
      <c r="H93" s="7">
        <f>IF(F93&gt;0,G93/F93,"n/a")</f>
        <v>1.0</v>
      </c>
      <c r="I93" s="6">
        <v>0</v>
      </c>
      <c r="J93" s="5" t="s">
        <v>19</v>
      </c>
      <c r="K93" s="6">
        <v>104</v>
      </c>
      <c r="L93" s="6">
        <v>104</v>
      </c>
      <c r="M93" s="7">
        <f>IF(K93&gt;0,L93/K93,"n/a")</f>
        <v>1.0</v>
      </c>
      <c r="N93" s="8">
        <f>IF(AND(F93&gt;0,K93&gt;0),(H93-M93)*100,"n/a")</f>
        <v>0.0</v>
      </c>
      <c r="O93" s="5" t="s">
        <v>20</v>
      </c>
    </row>
    <row r="94" spans="1:15">
      <c r="A94" s="5" t="s">
        <v>15</v>
      </c>
      <c r="B94" s="5" t="s">
        <v>144</v>
      </c>
      <c r="C94" s="5" t="s">
        <v>206</v>
      </c>
      <c r="D94" s="5" t="s">
        <v>219</v>
      </c>
      <c r="E94" s="5" t="s">
        <v>220</v>
      </c>
      <c r="F94" s="6">
        <v>196</v>
      </c>
      <c r="G94" s="6">
        <v>197</v>
      </c>
      <c r="H94" s="7">
        <f>IF(F94&gt;0,G94/F94,"n/a")</f>
        <v>1.005</v>
      </c>
      <c r="I94" s="6">
        <v>0</v>
      </c>
      <c r="J94" s="5" t="s">
        <v>19</v>
      </c>
      <c r="K94" s="6">
        <v>122</v>
      </c>
      <c r="L94" s="6">
        <v>122</v>
      </c>
      <c r="M94" s="7">
        <f>IF(K94&gt;0,L94/K94,"n/a")</f>
        <v>1.0</v>
      </c>
      <c r="N94" s="8">
        <f>IF(AND(F94&gt;0,K94&gt;0),(H94-M94)*100,"n/a")</f>
        <v>0.5</v>
      </c>
      <c r="O94" s="5" t="s">
        <v>20</v>
      </c>
    </row>
    <row r="95" spans="1:15">
      <c r="A95" s="5" t="s">
        <v>15</v>
      </c>
      <c r="B95" s="5" t="s">
        <v>144</v>
      </c>
      <c r="C95" s="5" t="s">
        <v>206</v>
      </c>
      <c r="D95" s="5" t="s">
        <v>221</v>
      </c>
      <c r="E95" s="5" t="s">
        <v>222</v>
      </c>
      <c r="F95" s="6">
        <v>217</v>
      </c>
      <c r="G95" s="6">
        <v>233</v>
      </c>
      <c r="H95" s="7">
        <f>IF(F95&gt;0,G95/F95,"n/a")</f>
        <v>1.074</v>
      </c>
      <c r="I95" s="6">
        <v>0</v>
      </c>
      <c r="J95" s="5" t="s">
        <v>19</v>
      </c>
      <c r="K95" s="6">
        <v>120</v>
      </c>
      <c r="L95" s="6">
        <v>120</v>
      </c>
      <c r="M95" s="7">
        <f>IF(K95&gt;0,L95/K95,"n/a")</f>
        <v>1.0</v>
      </c>
      <c r="N95" s="8">
        <f>IF(AND(F95&gt;0,K95&gt;0),(H95-M95)*100,"n/a")</f>
        <v>7.4</v>
      </c>
      <c r="O95" s="5" t="s">
        <v>20</v>
      </c>
    </row>
    <row r="96" spans="1:15">
      <c r="A96" s="5" t="s">
        <v>15</v>
      </c>
      <c r="B96" s="5" t="s">
        <v>144</v>
      </c>
      <c r="C96" s="5" t="s">
        <v>206</v>
      </c>
      <c r="D96" s="5" t="s">
        <v>206</v>
      </c>
      <c r="E96" s="5" t="s">
        <v>223</v>
      </c>
      <c r="F96" s="6">
        <v>185</v>
      </c>
      <c r="G96" s="6">
        <v>164</v>
      </c>
      <c r="H96" s="7">
        <f>IF(F96&gt;0,G96/F96,"n/a")</f>
        <v>0.8859999999999999</v>
      </c>
      <c r="I96" s="6">
        <v>0</v>
      </c>
      <c r="J96" s="5" t="s">
        <v>19</v>
      </c>
      <c r="K96" s="6">
        <v>107</v>
      </c>
      <c r="L96" s="6">
        <v>107</v>
      </c>
      <c r="M96" s="7">
        <f>IF(K96&gt;0,L96/K96,"n/a")</f>
        <v>1.0</v>
      </c>
      <c r="N96" s="8">
        <f>IF(AND(F96&gt;0,K96&gt;0),(H96-M96)*100,"n/a")</f>
        <v>-11.4</v>
      </c>
      <c r="O96" s="5" t="s">
        <v>20</v>
      </c>
    </row>
    <row r="97" spans="1:15">
      <c r="A97" s="5" t="s">
        <v>15</v>
      </c>
      <c r="B97" s="5" t="s">
        <v>144</v>
      </c>
      <c r="C97" s="5" t="s">
        <v>206</v>
      </c>
      <c r="D97" s="5" t="s">
        <v>224</v>
      </c>
      <c r="E97" s="5" t="s">
        <v>225</v>
      </c>
      <c r="F97" s="6">
        <v>84</v>
      </c>
      <c r="G97" s="6">
        <v>87</v>
      </c>
      <c r="H97" s="7">
        <f>IF(F97&gt;0,G97/F97,"n/a")</f>
        <v>1.036</v>
      </c>
      <c r="I97" s="6">
        <v>0</v>
      </c>
      <c r="J97" s="5" t="s">
        <v>19</v>
      </c>
      <c r="K97" s="6">
        <v>21</v>
      </c>
      <c r="L97" s="6">
        <v>21</v>
      </c>
      <c r="M97" s="7">
        <f>IF(K97&gt;0,L97/K97,"n/a")</f>
        <v>1.0</v>
      </c>
      <c r="N97" s="8">
        <f>IF(AND(F97&gt;0,K97&gt;0),(H97-M97)*100,"n/a")</f>
        <v>3.6</v>
      </c>
      <c r="O97" s="5" t="s">
        <v>20</v>
      </c>
    </row>
    <row r="98" spans="1:15">
      <c r="A98" s="5" t="s">
        <v>15</v>
      </c>
      <c r="B98" s="5" t="s">
        <v>144</v>
      </c>
      <c r="C98" s="5" t="s">
        <v>206</v>
      </c>
      <c r="D98" s="5" t="s">
        <v>226</v>
      </c>
      <c r="E98" s="5" t="s">
        <v>227</v>
      </c>
      <c r="F98" s="6">
        <v>87</v>
      </c>
      <c r="G98" s="6">
        <v>89</v>
      </c>
      <c r="H98" s="7">
        <f>IF(F98&gt;0,G98/F98,"n/a")</f>
        <v>1.023</v>
      </c>
      <c r="I98" s="6">
        <v>0</v>
      </c>
      <c r="J98" s="5" t="s">
        <v>19</v>
      </c>
      <c r="K98" s="6">
        <v>30</v>
      </c>
      <c r="L98" s="6">
        <v>30</v>
      </c>
      <c r="M98" s="7">
        <f>IF(K98&gt;0,L98/K98,"n/a")</f>
        <v>1.0</v>
      </c>
      <c r="N98" s="8">
        <f>IF(AND(F98&gt;0,K98&gt;0),(H98-M98)*100,"n/a")</f>
        <v>2.3</v>
      </c>
      <c r="O98" s="5" t="s">
        <v>20</v>
      </c>
    </row>
    <row r="99" spans="1:15">
      <c r="A99" s="5" t="s">
        <v>15</v>
      </c>
      <c r="B99" s="5" t="s">
        <v>228</v>
      </c>
      <c r="C99" s="5" t="s">
        <v>229</v>
      </c>
      <c r="D99" s="5" t="s">
        <v>230</v>
      </c>
      <c r="E99" s="5" t="s">
        <v>231</v>
      </c>
      <c r="F99" s="6">
        <v>32</v>
      </c>
      <c r="G99" s="6">
        <v>8</v>
      </c>
      <c r="H99" s="7">
        <f>IF(F99&gt;0,G99/F99,"n/a")</f>
        <v>0.25</v>
      </c>
      <c r="I99" s="6">
        <v>0</v>
      </c>
      <c r="J99" s="5" t="s">
        <v>232</v>
      </c>
      <c r="K99" s="6">
        <v>6</v>
      </c>
      <c r="L99" s="6">
        <v>6</v>
      </c>
      <c r="M99" s="7">
        <f>IF(K99&gt;0,L99/K99,"n/a")</f>
        <v>1.0</v>
      </c>
      <c r="N99" s="8">
        <f>IF(AND(F99&gt;0,K99&gt;0),(H99-M99)*100,"n/a")</f>
        <v>-75.0</v>
      </c>
      <c r="O99" s="5" t="s">
        <v>68</v>
      </c>
    </row>
    <row r="100" spans="1:15">
      <c r="A100" s="5" t="s">
        <v>15</v>
      </c>
      <c r="B100" s="5" t="s">
        <v>228</v>
      </c>
      <c r="C100" s="5" t="s">
        <v>229</v>
      </c>
      <c r="D100" s="5" t="s">
        <v>233</v>
      </c>
      <c r="E100" s="5" t="s">
        <v>234</v>
      </c>
      <c r="F100" s="6">
        <v>74</v>
      </c>
      <c r="G100" s="6">
        <v>92</v>
      </c>
      <c r="H100" s="7">
        <f>IF(F100&gt;0,G100/F100,"n/a")</f>
        <v>1.2429999999999999</v>
      </c>
      <c r="I100" s="6">
        <v>0</v>
      </c>
      <c r="J100" s="5" t="s">
        <v>26</v>
      </c>
      <c r="K100" s="6">
        <v>48</v>
      </c>
      <c r="L100" s="6">
        <v>48</v>
      </c>
      <c r="M100" s="7">
        <f>IF(K100&gt;0,L100/K100,"n/a")</f>
        <v>1.0</v>
      </c>
      <c r="N100" s="8">
        <f>IF(AND(F100&gt;0,K100&gt;0),(H100-M100)*100,"n/a")</f>
        <v>24.3</v>
      </c>
      <c r="O100" s="5" t="s">
        <v>20</v>
      </c>
    </row>
    <row r="101" spans="1:15">
      <c r="A101" s="5" t="s">
        <v>15</v>
      </c>
      <c r="B101" s="5" t="s">
        <v>228</v>
      </c>
      <c r="C101" s="5" t="s">
        <v>229</v>
      </c>
      <c r="D101" s="5" t="s">
        <v>235</v>
      </c>
      <c r="E101" s="5" t="s">
        <v>236</v>
      </c>
      <c r="F101" s="6">
        <v>29</v>
      </c>
      <c r="G101" s="6">
        <v>0</v>
      </c>
      <c r="H101" s="7">
        <f>IF(F101&gt;0,G101/F101,"n/a")</f>
        <v>0.0</v>
      </c>
      <c r="I101" s="6">
        <v>0</v>
      </c>
      <c r="J101" s="5" t="s">
        <v>67</v>
      </c>
      <c r="K101" s="6">
        <v>80</v>
      </c>
      <c r="L101" s="6">
        <v>80</v>
      </c>
      <c r="M101" s="7">
        <f>IF(K101&gt;0,L101/K101,"n/a")</f>
        <v>1.0</v>
      </c>
      <c r="N101" s="8">
        <f>IF(AND(F101&gt;0,K101&gt;0),(H101-M101)*100,"n/a")</f>
        <v>-100.0</v>
      </c>
      <c r="O101" s="5" t="s">
        <v>68</v>
      </c>
    </row>
    <row r="102" spans="1:15">
      <c r="A102" s="5" t="s">
        <v>15</v>
      </c>
      <c r="B102" s="5" t="s">
        <v>228</v>
      </c>
      <c r="C102" s="5" t="s">
        <v>229</v>
      </c>
      <c r="D102" s="5" t="s">
        <v>237</v>
      </c>
      <c r="E102" s="5" t="s">
        <v>238</v>
      </c>
      <c r="F102" s="6">
        <v>0</v>
      </c>
      <c r="G102" s="6">
        <v>0</v>
      </c>
      <c r="H102" s="7" t="str">
        <f>IF(F102&gt;0,G102/F102,"n/a")</f>
        <v>n/a</v>
      </c>
      <c r="I102" s="6">
        <v>0</v>
      </c>
      <c r="J102" s="5" t="s">
        <v>19</v>
      </c>
      <c r="K102" s="6">
        <v>3</v>
      </c>
      <c r="L102" s="6">
        <v>3</v>
      </c>
      <c r="M102" s="7">
        <f>IF(K102&gt;0,L102/K102,"n/a")</f>
        <v>1.0</v>
      </c>
      <c r="N102" s="8" t="str">
        <f>IF(AND(F102&gt;0,K102&gt;0),(H102-M102)*100,"n/a")</f>
        <v>n/a</v>
      </c>
      <c r="O102" s="5" t="s">
        <v>100</v>
      </c>
    </row>
    <row r="103" spans="1:15">
      <c r="A103" s="5" t="s">
        <v>15</v>
      </c>
      <c r="B103" s="5" t="s">
        <v>228</v>
      </c>
      <c r="C103" s="5" t="s">
        <v>239</v>
      </c>
      <c r="D103" s="5" t="s">
        <v>240</v>
      </c>
      <c r="E103" s="5" t="s">
        <v>241</v>
      </c>
      <c r="F103" s="6">
        <v>21</v>
      </c>
      <c r="G103" s="6">
        <v>29</v>
      </c>
      <c r="H103" s="7">
        <f>IF(F103&gt;0,G103/F103,"n/a")</f>
        <v>1.381</v>
      </c>
      <c r="I103" s="6">
        <v>0</v>
      </c>
      <c r="J103" s="5" t="s">
        <v>26</v>
      </c>
      <c r="K103" s="6">
        <v>58</v>
      </c>
      <c r="L103" s="6">
        <v>58</v>
      </c>
      <c r="M103" s="7">
        <f>IF(K103&gt;0,L103/K103,"n/a")</f>
        <v>1.0</v>
      </c>
      <c r="N103" s="8">
        <f>IF(AND(F103&gt;0,K103&gt;0),(H103-M103)*100,"n/a")</f>
        <v>38.1</v>
      </c>
      <c r="O103" s="5" t="s">
        <v>20</v>
      </c>
    </row>
    <row r="104" spans="1:15">
      <c r="A104" s="5" t="s">
        <v>15</v>
      </c>
      <c r="B104" s="5" t="s">
        <v>228</v>
      </c>
      <c r="C104" s="5" t="s">
        <v>239</v>
      </c>
      <c r="D104" s="5" t="s">
        <v>242</v>
      </c>
      <c r="E104" s="5" t="s">
        <v>243</v>
      </c>
      <c r="F104" s="6">
        <v>0</v>
      </c>
      <c r="G104" s="6">
        <v>8</v>
      </c>
      <c r="H104" s="7" t="str">
        <f>IF(F104&gt;0,G104/F104,"n/a")</f>
        <v>n/a</v>
      </c>
      <c r="I104" s="6">
        <v>0</v>
      </c>
      <c r="J104" s="5" t="s">
        <v>244</v>
      </c>
      <c r="K104" s="6">
        <v>20</v>
      </c>
      <c r="L104" s="6">
        <v>20</v>
      </c>
      <c r="M104" s="7">
        <f>IF(K104&gt;0,L104/K104,"n/a")</f>
        <v>1.0</v>
      </c>
      <c r="N104" s="8" t="str">
        <f>IF(AND(F104&gt;0,K104&gt;0),(H104-M104)*100,"n/a")</f>
        <v>n/a</v>
      </c>
      <c r="O104" s="5" t="s">
        <v>100</v>
      </c>
    </row>
    <row r="105" spans="1:15">
      <c r="A105" s="5" t="s">
        <v>15</v>
      </c>
      <c r="B105" s="5" t="s">
        <v>228</v>
      </c>
      <c r="C105" s="5" t="s">
        <v>245</v>
      </c>
      <c r="D105" s="5" t="s">
        <v>245</v>
      </c>
      <c r="E105" s="5" t="s">
        <v>246</v>
      </c>
      <c r="F105" s="6">
        <v>11</v>
      </c>
      <c r="G105" s="6">
        <v>11</v>
      </c>
      <c r="H105" s="7">
        <f>IF(F105&gt;0,G105/F105,"n/a")</f>
        <v>1.0</v>
      </c>
      <c r="I105" s="6">
        <v>0</v>
      </c>
      <c r="J105" s="5" t="s">
        <v>19</v>
      </c>
      <c r="K105" s="6">
        <v>0</v>
      </c>
      <c r="L105" s="6">
        <v>0</v>
      </c>
      <c r="M105" s="7" t="str">
        <f>IF(K105&gt;0,L105/K105,"n/a")</f>
        <v>n/a</v>
      </c>
      <c r="N105" s="8" t="str">
        <f>IF(AND(F105&gt;0,K105&gt;0),(H105-M105)*100,"n/a")</f>
        <v>n/a</v>
      </c>
      <c r="O105" s="5" t="s">
        <v>100</v>
      </c>
    </row>
    <row r="106" spans="1:15">
      <c r="A106" s="5" t="s">
        <v>15</v>
      </c>
      <c r="B106" s="5" t="s">
        <v>228</v>
      </c>
      <c r="C106" s="5" t="s">
        <v>247</v>
      </c>
      <c r="D106" s="5" t="s">
        <v>247</v>
      </c>
      <c r="E106" s="5" t="s">
        <v>248</v>
      </c>
      <c r="F106" s="6">
        <v>83</v>
      </c>
      <c r="G106" s="6">
        <v>83</v>
      </c>
      <c r="H106" s="7">
        <f>IF(F106&gt;0,G106/F106,"n/a")</f>
        <v>1.0</v>
      </c>
      <c r="I106" s="6">
        <v>0</v>
      </c>
      <c r="J106" s="5" t="s">
        <v>19</v>
      </c>
      <c r="K106" s="6">
        <v>55</v>
      </c>
      <c r="L106" s="6">
        <v>55</v>
      </c>
      <c r="M106" s="7">
        <f>IF(K106&gt;0,L106/K106,"n/a")</f>
        <v>1.0</v>
      </c>
      <c r="N106" s="8">
        <f>IF(AND(F106&gt;0,K106&gt;0),(H106-M106)*100,"n/a")</f>
        <v>0.0</v>
      </c>
      <c r="O106" s="5" t="s">
        <v>20</v>
      </c>
    </row>
    <row r="107" spans="1:15">
      <c r="A107" s="5" t="s">
        <v>15</v>
      </c>
      <c r="B107" s="5" t="s">
        <v>228</v>
      </c>
      <c r="C107" s="5" t="s">
        <v>249</v>
      </c>
      <c r="D107" s="5" t="s">
        <v>250</v>
      </c>
      <c r="E107" s="5" t="s">
        <v>251</v>
      </c>
      <c r="F107" s="6">
        <v>2</v>
      </c>
      <c r="G107" s="6">
        <v>5</v>
      </c>
      <c r="H107" s="7">
        <f>IF(F107&gt;0,G107/F107,"n/a")</f>
        <v>2.5</v>
      </c>
      <c r="I107" s="6">
        <v>0</v>
      </c>
      <c r="J107" s="5" t="s">
        <v>26</v>
      </c>
      <c r="K107" s="6">
        <v>10</v>
      </c>
      <c r="L107" s="6">
        <v>10</v>
      </c>
      <c r="M107" s="7">
        <f>IF(K107&gt;0,L107/K107,"n/a")</f>
        <v>1.0</v>
      </c>
      <c r="N107" s="8">
        <f>IF(AND(F107&gt;0,K107&gt;0),(H107-M107)*100,"n/a")</f>
        <v>150.0</v>
      </c>
      <c r="O107" s="5" t="s">
        <v>20</v>
      </c>
    </row>
    <row r="108" spans="1:15">
      <c r="A108" s="5" t="s">
        <v>15</v>
      </c>
      <c r="B108" s="5" t="s">
        <v>228</v>
      </c>
      <c r="C108" s="5" t="s">
        <v>249</v>
      </c>
      <c r="D108" s="5" t="s">
        <v>252</v>
      </c>
      <c r="E108" s="5" t="s">
        <v>253</v>
      </c>
      <c r="F108" s="6">
        <v>4</v>
      </c>
      <c r="G108" s="6">
        <v>4</v>
      </c>
      <c r="H108" s="7">
        <f>IF(F108&gt;0,G108/F108,"n/a")</f>
        <v>1.0</v>
      </c>
      <c r="I108" s="6">
        <v>0</v>
      </c>
      <c r="J108" s="5" t="s">
        <v>19</v>
      </c>
      <c r="K108" s="6">
        <v>2</v>
      </c>
      <c r="L108" s="6">
        <v>2</v>
      </c>
      <c r="M108" s="7">
        <f>IF(K108&gt;0,L108/K108,"n/a")</f>
        <v>1.0</v>
      </c>
      <c r="N108" s="8">
        <f>IF(AND(F108&gt;0,K108&gt;0),(H108-M108)*100,"n/a")</f>
        <v>0.0</v>
      </c>
      <c r="O108" s="5" t="s">
        <v>20</v>
      </c>
    </row>
    <row r="109" spans="1:15">
      <c r="A109" s="5" t="s">
        <v>15</v>
      </c>
      <c r="B109" s="5" t="s">
        <v>228</v>
      </c>
      <c r="C109" s="5" t="s">
        <v>249</v>
      </c>
      <c r="D109" s="5" t="s">
        <v>254</v>
      </c>
      <c r="E109" s="5" t="s">
        <v>255</v>
      </c>
      <c r="F109" s="6">
        <v>0</v>
      </c>
      <c r="G109" s="6">
        <v>0</v>
      </c>
      <c r="H109" s="7" t="str">
        <f>IF(F109&gt;0,G109/F109,"n/a")</f>
        <v>n/a</v>
      </c>
      <c r="I109" s="6">
        <v>0</v>
      </c>
      <c r="J109" s="5" t="s">
        <v>19</v>
      </c>
      <c r="K109" s="6">
        <v>0</v>
      </c>
      <c r="L109" s="6">
        <v>0</v>
      </c>
      <c r="M109" s="7" t="str">
        <f>IF(K109&gt;0,L109/K109,"n/a")</f>
        <v>n/a</v>
      </c>
      <c r="N109" s="8" t="str">
        <f>IF(AND(F109&gt;0,K109&gt;0),(H109-M109)*100,"n/a")</f>
        <v>n/a</v>
      </c>
      <c r="O109" s="5" t="s">
        <v>100</v>
      </c>
    </row>
    <row r="110" spans="1:15">
      <c r="A110" s="5" t="s">
        <v>15</v>
      </c>
      <c r="B110" s="5" t="s">
        <v>228</v>
      </c>
      <c r="C110" s="5" t="s">
        <v>249</v>
      </c>
      <c r="D110" s="5" t="s">
        <v>256</v>
      </c>
      <c r="E110" s="5" t="s">
        <v>257</v>
      </c>
      <c r="F110" s="6">
        <v>8</v>
      </c>
      <c r="G110" s="6">
        <v>7</v>
      </c>
      <c r="H110" s="7">
        <f>IF(F110&gt;0,G110/F110,"n/a")</f>
        <v>0.875</v>
      </c>
      <c r="I110" s="6">
        <v>0</v>
      </c>
      <c r="J110" s="5" t="s">
        <v>19</v>
      </c>
      <c r="K110" s="6">
        <v>14</v>
      </c>
      <c r="L110" s="6">
        <v>14</v>
      </c>
      <c r="M110" s="7">
        <f>IF(K110&gt;0,L110/K110,"n/a")</f>
        <v>1.0</v>
      </c>
      <c r="N110" s="8">
        <f>IF(AND(F110&gt;0,K110&gt;0),(H110-M110)*100,"n/a")</f>
        <v>-12.5</v>
      </c>
      <c r="O110" s="5" t="s">
        <v>20</v>
      </c>
    </row>
    <row r="111" spans="1:15">
      <c r="A111" s="5" t="s">
        <v>15</v>
      </c>
      <c r="B111" s="5" t="s">
        <v>228</v>
      </c>
      <c r="C111" s="5" t="s">
        <v>249</v>
      </c>
      <c r="D111" s="5" t="s">
        <v>258</v>
      </c>
      <c r="E111" s="5" t="s">
        <v>259</v>
      </c>
      <c r="F111" s="6">
        <v>24</v>
      </c>
      <c r="G111" s="6">
        <v>0</v>
      </c>
      <c r="H111" s="7">
        <f>IF(F111&gt;0,G111/F111,"n/a")</f>
        <v>0.0</v>
      </c>
      <c r="I111" s="6">
        <v>0</v>
      </c>
      <c r="J111" s="5" t="s">
        <v>67</v>
      </c>
      <c r="K111" s="6">
        <v>8</v>
      </c>
      <c r="L111" s="6">
        <v>8</v>
      </c>
      <c r="M111" s="7">
        <f>IF(K111&gt;0,L111/K111,"n/a")</f>
        <v>1.0</v>
      </c>
      <c r="N111" s="8">
        <f>IF(AND(F111&gt;0,K111&gt;0),(H111-M111)*100,"n/a")</f>
        <v>-100.0</v>
      </c>
      <c r="O111" s="5" t="s">
        <v>68</v>
      </c>
    </row>
    <row r="112" spans="1:15">
      <c r="A112" s="5" t="s">
        <v>15</v>
      </c>
      <c r="B112" s="5" t="s">
        <v>228</v>
      </c>
      <c r="C112" s="5" t="s">
        <v>249</v>
      </c>
      <c r="D112" s="5" t="s">
        <v>260</v>
      </c>
      <c r="E112" s="5" t="s">
        <v>261</v>
      </c>
      <c r="F112" s="6">
        <v>0</v>
      </c>
      <c r="G112" s="6">
        <v>52</v>
      </c>
      <c r="H112" s="7" t="str">
        <f>IF(F112&gt;0,G112/F112,"n/a")</f>
        <v>n/a</v>
      </c>
      <c r="I112" s="6">
        <v>0</v>
      </c>
      <c r="J112" s="5" t="s">
        <v>244</v>
      </c>
      <c r="K112" s="6">
        <v>0</v>
      </c>
      <c r="L112" s="6">
        <v>0</v>
      </c>
      <c r="M112" s="7" t="str">
        <f>IF(K112&gt;0,L112/K112,"n/a")</f>
        <v>n/a</v>
      </c>
      <c r="N112" s="8" t="str">
        <f>IF(AND(F112&gt;0,K112&gt;0),(H112-M112)*100,"n/a")</f>
        <v>n/a</v>
      </c>
      <c r="O112" s="5" t="s">
        <v>100</v>
      </c>
    </row>
    <row r="113" spans="1:15">
      <c r="A113" s="5" t="s">
        <v>15</v>
      </c>
      <c r="B113" s="5" t="s">
        <v>228</v>
      </c>
      <c r="C113" s="5" t="s">
        <v>249</v>
      </c>
      <c r="D113" s="5" t="s">
        <v>262</v>
      </c>
      <c r="E113" s="5" t="s">
        <v>263</v>
      </c>
      <c r="F113" s="6">
        <v>28</v>
      </c>
      <c r="G113" s="6">
        <v>0</v>
      </c>
      <c r="H113" s="7">
        <f>IF(F113&gt;0,G113/F113,"n/a")</f>
        <v>0.0</v>
      </c>
      <c r="I113" s="6">
        <v>0</v>
      </c>
      <c r="J113" s="5" t="s">
        <v>67</v>
      </c>
      <c r="K113" s="6">
        <v>9</v>
      </c>
      <c r="L113" s="6">
        <v>9</v>
      </c>
      <c r="M113" s="7">
        <f>IF(K113&gt;0,L113/K113,"n/a")</f>
        <v>1.0</v>
      </c>
      <c r="N113" s="8">
        <f>IF(AND(F113&gt;0,K113&gt;0),(H113-M113)*100,"n/a")</f>
        <v>-100.0</v>
      </c>
      <c r="O113" s="5" t="s">
        <v>68</v>
      </c>
    </row>
    <row r="114" spans="1:15">
      <c r="A114" s="5" t="s">
        <v>15</v>
      </c>
      <c r="B114" s="5" t="s">
        <v>228</v>
      </c>
      <c r="C114" s="5" t="s">
        <v>264</v>
      </c>
      <c r="D114" s="5" t="s">
        <v>265</v>
      </c>
      <c r="E114" s="5" t="s">
        <v>266</v>
      </c>
      <c r="F114" s="6">
        <v>69</v>
      </c>
      <c r="G114" s="6">
        <v>165</v>
      </c>
      <c r="H114" s="7">
        <f>IF(F114&gt;0,G114/F114,"n/a")</f>
        <v>2.391</v>
      </c>
      <c r="I114" s="6">
        <v>0</v>
      </c>
      <c r="J114" s="5" t="s">
        <v>26</v>
      </c>
      <c r="K114" s="6">
        <v>20</v>
      </c>
      <c r="L114" s="6">
        <v>20</v>
      </c>
      <c r="M114" s="7">
        <f>IF(K114&gt;0,L114/K114,"n/a")</f>
        <v>1.0</v>
      </c>
      <c r="N114" s="8">
        <f>IF(AND(F114&gt;0,K114&gt;0),(H114-M114)*100,"n/a")</f>
        <v>139.1</v>
      </c>
      <c r="O114" s="5" t="s">
        <v>20</v>
      </c>
    </row>
    <row r="115" spans="1:15">
      <c r="A115" s="5" t="s">
        <v>15</v>
      </c>
      <c r="B115" s="5" t="s">
        <v>228</v>
      </c>
      <c r="C115" s="5" t="s">
        <v>264</v>
      </c>
      <c r="D115" s="5" t="s">
        <v>267</v>
      </c>
      <c r="E115" s="5" t="s">
        <v>268</v>
      </c>
      <c r="F115" s="6">
        <v>22</v>
      </c>
      <c r="G115" s="6">
        <v>38</v>
      </c>
      <c r="H115" s="7">
        <f>IF(F115&gt;0,G115/F115,"n/a")</f>
        <v>1.7269999999999999</v>
      </c>
      <c r="I115" s="6">
        <v>0</v>
      </c>
      <c r="J115" s="5" t="s">
        <v>26</v>
      </c>
      <c r="K115" s="6">
        <v>21</v>
      </c>
      <c r="L115" s="6">
        <v>21</v>
      </c>
      <c r="M115" s="7">
        <f>IF(K115&gt;0,L115/K115,"n/a")</f>
        <v>1.0</v>
      </c>
      <c r="N115" s="8">
        <f>IF(AND(F115&gt;0,K115&gt;0),(H115-M115)*100,"n/a")</f>
        <v>72.7</v>
      </c>
      <c r="O115" s="5" t="s">
        <v>20</v>
      </c>
    </row>
    <row r="116" spans="1:15">
      <c r="A116" s="5" t="s">
        <v>15</v>
      </c>
      <c r="B116" s="5" t="s">
        <v>228</v>
      </c>
      <c r="C116" s="5" t="s">
        <v>264</v>
      </c>
      <c r="D116" s="5" t="s">
        <v>269</v>
      </c>
      <c r="E116" s="5" t="s">
        <v>270</v>
      </c>
      <c r="F116" s="6">
        <v>63</v>
      </c>
      <c r="G116" s="6">
        <v>35</v>
      </c>
      <c r="H116" s="7">
        <f>IF(F116&gt;0,G116/F116,"n/a")</f>
        <v>0.556</v>
      </c>
      <c r="I116" s="6">
        <v>0</v>
      </c>
      <c r="J116" s="5" t="s">
        <v>45</v>
      </c>
      <c r="K116" s="6">
        <v>50</v>
      </c>
      <c r="L116" s="6">
        <v>50</v>
      </c>
      <c r="M116" s="7">
        <f>IF(K116&gt;0,L116/K116,"n/a")</f>
        <v>1.0</v>
      </c>
      <c r="N116" s="8">
        <f>IF(AND(F116&gt;0,K116&gt;0),(H116-M116)*100,"n/a")</f>
        <v>-44.4</v>
      </c>
      <c r="O116" s="5" t="s">
        <v>68</v>
      </c>
    </row>
    <row r="117" spans="1:15">
      <c r="A117" s="5" t="s">
        <v>15</v>
      </c>
      <c r="B117" s="5" t="s">
        <v>228</v>
      </c>
      <c r="C117" s="5" t="s">
        <v>271</v>
      </c>
      <c r="D117" s="5" t="s">
        <v>271</v>
      </c>
      <c r="E117" s="5" t="s">
        <v>272</v>
      </c>
      <c r="F117" s="6">
        <v>0</v>
      </c>
      <c r="G117" s="6">
        <v>0</v>
      </c>
      <c r="H117" s="7" t="str">
        <f>IF(F117&gt;0,G117/F117,"n/a")</f>
        <v>n/a</v>
      </c>
      <c r="I117" s="6">
        <v>0</v>
      </c>
      <c r="J117" s="5" t="s">
        <v>19</v>
      </c>
      <c r="K117" s="6">
        <v>0</v>
      </c>
      <c r="L117" s="6">
        <v>0</v>
      </c>
      <c r="M117" s="7" t="str">
        <f>IF(K117&gt;0,L117/K117,"n/a")</f>
        <v>n/a</v>
      </c>
      <c r="N117" s="8" t="str">
        <f>IF(AND(F117&gt;0,K117&gt;0),(H117-M117)*100,"n/a")</f>
        <v>n/a</v>
      </c>
      <c r="O117" s="5" t="s">
        <v>100</v>
      </c>
    </row>
    <row r="118" spans="1:15">
      <c r="A118" s="5" t="s">
        <v>15</v>
      </c>
      <c r="B118" s="5" t="s">
        <v>228</v>
      </c>
      <c r="C118" s="5" t="s">
        <v>273</v>
      </c>
      <c r="D118" s="5" t="s">
        <v>274</v>
      </c>
      <c r="E118" s="5" t="s">
        <v>275</v>
      </c>
      <c r="F118" s="6">
        <v>8</v>
      </c>
      <c r="G118" s="6">
        <v>0</v>
      </c>
      <c r="H118" s="7">
        <f>IF(F118&gt;0,G118/F118,"n/a")</f>
        <v>0.0</v>
      </c>
      <c r="I118" s="6">
        <v>0</v>
      </c>
      <c r="J118" s="5" t="s">
        <v>67</v>
      </c>
      <c r="K118" s="6">
        <v>0</v>
      </c>
      <c r="L118" s="6">
        <v>0</v>
      </c>
      <c r="M118" s="7" t="str">
        <f>IF(K118&gt;0,L118/K118,"n/a")</f>
        <v>n/a</v>
      </c>
      <c r="N118" s="8" t="str">
        <f>IF(AND(F118&gt;0,K118&gt;0),(H118-M118)*100,"n/a")</f>
        <v>n/a</v>
      </c>
      <c r="O118" s="5" t="s">
        <v>100</v>
      </c>
    </row>
    <row r="119" spans="1:15">
      <c r="A119" s="5" t="s">
        <v>15</v>
      </c>
      <c r="B119" s="5" t="s">
        <v>228</v>
      </c>
      <c r="C119" s="5" t="s">
        <v>273</v>
      </c>
      <c r="D119" s="5" t="s">
        <v>276</v>
      </c>
      <c r="E119" s="5" t="s">
        <v>277</v>
      </c>
      <c r="F119" s="6">
        <v>5</v>
      </c>
      <c r="G119" s="6">
        <v>0</v>
      </c>
      <c r="H119" s="7">
        <f>IF(F119&gt;0,G119/F119,"n/a")</f>
        <v>0.0</v>
      </c>
      <c r="I119" s="6">
        <v>0</v>
      </c>
      <c r="J119" s="5" t="s">
        <v>67</v>
      </c>
      <c r="K119" s="6">
        <v>0</v>
      </c>
      <c r="L119" s="6">
        <v>0</v>
      </c>
      <c r="M119" s="7" t="str">
        <f>IF(K119&gt;0,L119/K119,"n/a")</f>
        <v>n/a</v>
      </c>
      <c r="N119" s="8" t="str">
        <f>IF(AND(F119&gt;0,K119&gt;0),(H119-M119)*100,"n/a")</f>
        <v>n/a</v>
      </c>
      <c r="O119" s="5" t="s">
        <v>100</v>
      </c>
    </row>
    <row r="120" spans="1:15">
      <c r="A120" s="5" t="s">
        <v>15</v>
      </c>
      <c r="B120" s="5" t="s">
        <v>228</v>
      </c>
      <c r="C120" s="5" t="s">
        <v>278</v>
      </c>
      <c r="D120" s="5" t="s">
        <v>279</v>
      </c>
      <c r="E120" s="5" t="s">
        <v>280</v>
      </c>
      <c r="F120" s="6">
        <v>0</v>
      </c>
      <c r="G120" s="6">
        <v>0</v>
      </c>
      <c r="H120" s="7" t="str">
        <f>IF(F120&gt;0,G120/F120,"n/a")</f>
        <v>n/a</v>
      </c>
      <c r="I120" s="6">
        <v>0</v>
      </c>
      <c r="J120" s="5" t="s">
        <v>19</v>
      </c>
      <c r="K120" s="6">
        <v>0</v>
      </c>
      <c r="L120" s="6">
        <v>0</v>
      </c>
      <c r="M120" s="7" t="str">
        <f>IF(K120&gt;0,L120/K120,"n/a")</f>
        <v>n/a</v>
      </c>
      <c r="N120" s="8" t="str">
        <f>IF(AND(F120&gt;0,K120&gt;0),(H120-M120)*100,"n/a")</f>
        <v>n/a</v>
      </c>
      <c r="O120" s="5" t="s">
        <v>100</v>
      </c>
    </row>
    <row r="121" spans="1:15">
      <c r="A121" s="5" t="s">
        <v>15</v>
      </c>
      <c r="B121" s="5" t="s">
        <v>228</v>
      </c>
      <c r="C121" s="5" t="s">
        <v>278</v>
      </c>
      <c r="D121" s="5" t="s">
        <v>281</v>
      </c>
      <c r="E121" s="5" t="s">
        <v>282</v>
      </c>
      <c r="F121" s="6">
        <v>9</v>
      </c>
      <c r="G121" s="6">
        <v>0</v>
      </c>
      <c r="H121" s="7">
        <f>IF(F121&gt;0,G121/F121,"n/a")</f>
        <v>0.0</v>
      </c>
      <c r="I121" s="6">
        <v>0</v>
      </c>
      <c r="J121" s="5" t="s">
        <v>67</v>
      </c>
      <c r="K121" s="6">
        <v>0</v>
      </c>
      <c r="L121" s="6">
        <v>0</v>
      </c>
      <c r="M121" s="7" t="str">
        <f>IF(K121&gt;0,L121/K121,"n/a")</f>
        <v>n/a</v>
      </c>
      <c r="N121" s="8" t="str">
        <f>IF(AND(F121&gt;0,K121&gt;0),(H121-M121)*100,"n/a")</f>
        <v>n/a</v>
      </c>
      <c r="O121" s="5" t="s">
        <v>100</v>
      </c>
    </row>
    <row r="122" spans="1:15">
      <c r="A122" s="5" t="s">
        <v>283</v>
      </c>
      <c r="B122" s="5" t="s">
        <v>283</v>
      </c>
      <c r="C122" s="5" t="s">
        <v>284</v>
      </c>
      <c r="D122" s="5" t="s">
        <v>285</v>
      </c>
      <c r="E122" s="5" t="s">
        <v>286</v>
      </c>
      <c r="F122" s="6">
        <v>49</v>
      </c>
      <c r="G122" s="6">
        <v>49</v>
      </c>
      <c r="H122" s="7">
        <f>IF(F122&gt;0,G122/F122,"n/a")</f>
        <v>1.0</v>
      </c>
      <c r="I122" s="6">
        <v>0</v>
      </c>
      <c r="J122" s="5" t="s">
        <v>19</v>
      </c>
      <c r="K122" s="6">
        <v>42</v>
      </c>
      <c r="L122" s="6">
        <v>42</v>
      </c>
      <c r="M122" s="7">
        <f>IF(K122&gt;0,L122/K122,"n/a")</f>
        <v>1.0</v>
      </c>
      <c r="N122" s="8">
        <f>IF(AND(F122&gt;0,K122&gt;0),(H122-M122)*100,"n/a")</f>
        <v>0.0</v>
      </c>
      <c r="O122" s="5" t="s">
        <v>20</v>
      </c>
    </row>
    <row r="123" spans="1:15">
      <c r="A123" s="5" t="s">
        <v>283</v>
      </c>
      <c r="B123" s="5" t="s">
        <v>283</v>
      </c>
      <c r="C123" s="5" t="s">
        <v>284</v>
      </c>
      <c r="D123" s="5" t="s">
        <v>284</v>
      </c>
      <c r="E123" s="5" t="s">
        <v>287</v>
      </c>
      <c r="F123" s="6">
        <v>118</v>
      </c>
      <c r="G123" s="6">
        <v>123</v>
      </c>
      <c r="H123" s="7">
        <f>IF(F123&gt;0,G123/F123,"n/a")</f>
        <v>1.042</v>
      </c>
      <c r="I123" s="6">
        <v>0</v>
      </c>
      <c r="J123" s="5" t="s">
        <v>19</v>
      </c>
      <c r="K123" s="6">
        <v>51</v>
      </c>
      <c r="L123" s="6">
        <v>52</v>
      </c>
      <c r="M123" s="7">
        <f>IF(K123&gt;0,L123/K123,"n/a")</f>
        <v>1.02</v>
      </c>
      <c r="N123" s="8">
        <f>IF(AND(F123&gt;0,K123&gt;0),(H123-M123)*100,"n/a")</f>
        <v>2.3</v>
      </c>
      <c r="O123" s="5" t="s">
        <v>20</v>
      </c>
    </row>
    <row r="124" spans="1:15">
      <c r="A124" s="5" t="s">
        <v>283</v>
      </c>
      <c r="B124" s="5" t="s">
        <v>283</v>
      </c>
      <c r="C124" s="5" t="s">
        <v>284</v>
      </c>
      <c r="D124" s="5" t="s">
        <v>288</v>
      </c>
      <c r="E124" s="5" t="s">
        <v>289</v>
      </c>
      <c r="F124" s="6">
        <v>5</v>
      </c>
      <c r="G124" s="6">
        <v>0</v>
      </c>
      <c r="H124" s="7">
        <f>IF(F124&gt;0,G124/F124,"n/a")</f>
        <v>0.0</v>
      </c>
      <c r="I124" s="6">
        <v>0</v>
      </c>
      <c r="J124" s="5" t="s">
        <v>67</v>
      </c>
      <c r="K124" s="6">
        <v>1</v>
      </c>
      <c r="L124" s="6">
        <v>2</v>
      </c>
      <c r="M124" s="7">
        <f>IF(K124&gt;0,L124/K124,"n/a")</f>
        <v>2.0</v>
      </c>
      <c r="N124" s="8">
        <f>IF(AND(F124&gt;0,K124&gt;0),(H124-M124)*100,"n/a")</f>
        <v>-200.0</v>
      </c>
      <c r="O124" s="5" t="s">
        <v>68</v>
      </c>
    </row>
    <row r="125" spans="1:15">
      <c r="A125" s="5" t="s">
        <v>283</v>
      </c>
      <c r="B125" s="5" t="s">
        <v>283</v>
      </c>
      <c r="C125" s="5" t="s">
        <v>284</v>
      </c>
      <c r="D125" s="5" t="s">
        <v>290</v>
      </c>
      <c r="E125" s="5" t="s">
        <v>291</v>
      </c>
      <c r="F125" s="6">
        <v>24</v>
      </c>
      <c r="G125" s="6">
        <v>30</v>
      </c>
      <c r="H125" s="7">
        <f>IF(F125&gt;0,G125/F125,"n/a")</f>
        <v>1.25</v>
      </c>
      <c r="I125" s="6">
        <v>0</v>
      </c>
      <c r="J125" s="5" t="s">
        <v>26</v>
      </c>
      <c r="K125" s="6">
        <v>5</v>
      </c>
      <c r="L125" s="6">
        <v>5</v>
      </c>
      <c r="M125" s="7">
        <f>IF(K125&gt;0,L125/K125,"n/a")</f>
        <v>1.0</v>
      </c>
      <c r="N125" s="8">
        <f>IF(AND(F125&gt;0,K125&gt;0),(H125-M125)*100,"n/a")</f>
        <v>25.0</v>
      </c>
      <c r="O125" s="5" t="s">
        <v>20</v>
      </c>
    </row>
    <row r="126" spans="1:15">
      <c r="A126" s="5" t="s">
        <v>283</v>
      </c>
      <c r="B126" s="5" t="s">
        <v>283</v>
      </c>
      <c r="C126" s="5" t="s">
        <v>284</v>
      </c>
      <c r="D126" s="5" t="s">
        <v>292</v>
      </c>
      <c r="E126" s="5" t="s">
        <v>293</v>
      </c>
      <c r="F126" s="6">
        <v>28</v>
      </c>
      <c r="G126" s="6">
        <v>30</v>
      </c>
      <c r="H126" s="7">
        <f>IF(F126&gt;0,G126/F126,"n/a")</f>
        <v>1.071</v>
      </c>
      <c r="I126" s="6">
        <v>0</v>
      </c>
      <c r="J126" s="5" t="s">
        <v>19</v>
      </c>
      <c r="K126" s="6">
        <v>21</v>
      </c>
      <c r="L126" s="6">
        <v>21</v>
      </c>
      <c r="M126" s="7">
        <f>IF(K126&gt;0,L126/K126,"n/a")</f>
        <v>1.0</v>
      </c>
      <c r="N126" s="8">
        <f>IF(AND(F126&gt;0,K126&gt;0),(H126-M126)*100,"n/a")</f>
        <v>7.1</v>
      </c>
      <c r="O126" s="5" t="s">
        <v>20</v>
      </c>
    </row>
    <row r="127" spans="1:15">
      <c r="A127" s="5" t="s">
        <v>283</v>
      </c>
      <c r="B127" s="5" t="s">
        <v>283</v>
      </c>
      <c r="C127" s="5" t="s">
        <v>294</v>
      </c>
      <c r="D127" s="5" t="s">
        <v>295</v>
      </c>
      <c r="E127" s="5" t="s">
        <v>296</v>
      </c>
      <c r="F127" s="6">
        <v>140</v>
      </c>
      <c r="G127" s="6">
        <v>105</v>
      </c>
      <c r="H127" s="7">
        <f>IF(F127&gt;0,G127/F127,"n/a")</f>
        <v>0.75</v>
      </c>
      <c r="I127" s="6">
        <v>0</v>
      </c>
      <c r="J127" s="5" t="s">
        <v>45</v>
      </c>
      <c r="K127" s="6">
        <v>73</v>
      </c>
      <c r="L127" s="6">
        <v>65</v>
      </c>
      <c r="M127" s="7">
        <f>IF(K127&gt;0,L127/K127,"n/a")</f>
        <v>0.89</v>
      </c>
      <c r="N127" s="8">
        <f>IF(AND(F127&gt;0,K127&gt;0),(H127-M127)*100,"n/a")</f>
        <v>-14.0</v>
      </c>
      <c r="O127" s="5" t="s">
        <v>68</v>
      </c>
    </row>
    <row r="128" spans="1:15">
      <c r="A128" s="5" t="s">
        <v>283</v>
      </c>
      <c r="B128" s="5" t="s">
        <v>283</v>
      </c>
      <c r="C128" s="5" t="s">
        <v>294</v>
      </c>
      <c r="D128" s="5" t="s">
        <v>297</v>
      </c>
      <c r="E128" s="5" t="s">
        <v>298</v>
      </c>
      <c r="F128" s="6">
        <v>22</v>
      </c>
      <c r="G128" s="6">
        <v>10</v>
      </c>
      <c r="H128" s="7">
        <f>IF(F128&gt;0,G128/F128,"n/a")</f>
        <v>0.455</v>
      </c>
      <c r="I128" s="6">
        <v>0</v>
      </c>
      <c r="J128" s="5" t="s">
        <v>232</v>
      </c>
      <c r="K128" s="6">
        <v>24</v>
      </c>
      <c r="L128" s="6">
        <v>8</v>
      </c>
      <c r="M128" s="7">
        <f>IF(K128&gt;0,L128/K128,"n/a")</f>
        <v>0.33299999999999996</v>
      </c>
      <c r="N128" s="8">
        <f>IF(AND(F128&gt;0,K128&gt;0),(H128-M128)*100,"n/a")</f>
        <v>12.1</v>
      </c>
      <c r="O128" s="5" t="s">
        <v>46</v>
      </c>
    </row>
    <row r="129" spans="1:15">
      <c r="A129" s="5" t="s">
        <v>283</v>
      </c>
      <c r="B129" s="5" t="s">
        <v>283</v>
      </c>
      <c r="C129" s="5" t="s">
        <v>294</v>
      </c>
      <c r="D129" s="5" t="s">
        <v>299</v>
      </c>
      <c r="E129" s="5" t="s">
        <v>300</v>
      </c>
      <c r="F129" s="6">
        <v>57</v>
      </c>
      <c r="G129" s="6">
        <v>45</v>
      </c>
      <c r="H129" s="7">
        <f>IF(F129&gt;0,G129/F129,"n/a")</f>
        <v>0.789</v>
      </c>
      <c r="I129" s="6">
        <v>0</v>
      </c>
      <c r="J129" s="5" t="s">
        <v>45</v>
      </c>
      <c r="K129" s="6">
        <v>33</v>
      </c>
      <c r="L129" s="6">
        <v>15</v>
      </c>
      <c r="M129" s="7">
        <f>IF(K129&gt;0,L129/K129,"n/a")</f>
        <v>0.455</v>
      </c>
      <c r="N129" s="8">
        <f>IF(AND(F129&gt;0,K129&gt;0),(H129-M129)*100,"n/a")</f>
        <v>33.5</v>
      </c>
      <c r="O129" s="5" t="s">
        <v>46</v>
      </c>
    </row>
    <row r="130" spans="1:15">
      <c r="A130" s="5" t="s">
        <v>283</v>
      </c>
      <c r="B130" s="5" t="s">
        <v>283</v>
      </c>
      <c r="C130" s="5" t="s">
        <v>294</v>
      </c>
      <c r="D130" s="5" t="s">
        <v>301</v>
      </c>
      <c r="E130" s="5" t="s">
        <v>302</v>
      </c>
      <c r="F130" s="6">
        <v>25</v>
      </c>
      <c r="G130" s="6">
        <v>17</v>
      </c>
      <c r="H130" s="7">
        <f>IF(F130&gt;0,G130/F130,"n/a")</f>
        <v>0.68</v>
      </c>
      <c r="I130" s="6">
        <v>0</v>
      </c>
      <c r="J130" s="5" t="s">
        <v>45</v>
      </c>
      <c r="K130" s="6">
        <v>13</v>
      </c>
      <c r="L130" s="6">
        <v>11</v>
      </c>
      <c r="M130" s="7">
        <f>IF(K130&gt;0,L130/K130,"n/a")</f>
        <v>0.846</v>
      </c>
      <c r="N130" s="8">
        <f>IF(AND(F130&gt;0,K130&gt;0),(H130-M130)*100,"n/a")</f>
        <v>-16.6</v>
      </c>
      <c r="O130" s="5" t="s">
        <v>68</v>
      </c>
    </row>
    <row r="131" spans="1:15">
      <c r="A131" s="5" t="s">
        <v>283</v>
      </c>
      <c r="B131" s="5" t="s">
        <v>283</v>
      </c>
      <c r="C131" s="5" t="s">
        <v>294</v>
      </c>
      <c r="D131" s="5" t="s">
        <v>303</v>
      </c>
      <c r="E131" s="5" t="s">
        <v>304</v>
      </c>
      <c r="F131" s="6">
        <v>33</v>
      </c>
      <c r="G131" s="6">
        <v>33</v>
      </c>
      <c r="H131" s="7">
        <f>IF(F131&gt;0,G131/F131,"n/a")</f>
        <v>1.0</v>
      </c>
      <c r="I131" s="6">
        <v>0</v>
      </c>
      <c r="J131" s="5" t="s">
        <v>19</v>
      </c>
      <c r="K131" s="6">
        <v>28</v>
      </c>
      <c r="L131" s="6">
        <v>27</v>
      </c>
      <c r="M131" s="7">
        <f>IF(K131&gt;0,L131/K131,"n/a")</f>
        <v>0.9640000000000001</v>
      </c>
      <c r="N131" s="8">
        <f>IF(AND(F131&gt;0,K131&gt;0),(H131-M131)*100,"n/a")</f>
        <v>3.6</v>
      </c>
      <c r="O131" s="5" t="s">
        <v>20</v>
      </c>
    </row>
    <row r="132" spans="1:15">
      <c r="A132" s="5" t="s">
        <v>283</v>
      </c>
      <c r="B132" s="5" t="s">
        <v>283</v>
      </c>
      <c r="C132" s="5" t="s">
        <v>294</v>
      </c>
      <c r="D132" s="5" t="s">
        <v>305</v>
      </c>
      <c r="E132" s="5" t="s">
        <v>306</v>
      </c>
      <c r="F132" s="6">
        <v>72</v>
      </c>
      <c r="G132" s="6">
        <v>49</v>
      </c>
      <c r="H132" s="7">
        <f>IF(F132&gt;0,G132/F132,"n/a")</f>
        <v>0.6809999999999999</v>
      </c>
      <c r="I132" s="6">
        <v>0</v>
      </c>
      <c r="J132" s="5" t="s">
        <v>45</v>
      </c>
      <c r="K132" s="6">
        <v>62</v>
      </c>
      <c r="L132" s="6">
        <v>33</v>
      </c>
      <c r="M132" s="7">
        <f>IF(K132&gt;0,L132/K132,"n/a")</f>
        <v>0.532</v>
      </c>
      <c r="N132" s="8">
        <f>IF(AND(F132&gt;0,K132&gt;0),(H132-M132)*100,"n/a")</f>
        <v>14.8</v>
      </c>
      <c r="O132" s="5" t="s">
        <v>46</v>
      </c>
    </row>
    <row r="133" spans="1:15">
      <c r="A133" s="5" t="s">
        <v>283</v>
      </c>
      <c r="B133" s="5" t="s">
        <v>283</v>
      </c>
      <c r="C133" s="5" t="s">
        <v>294</v>
      </c>
      <c r="D133" s="5" t="s">
        <v>307</v>
      </c>
      <c r="E133" s="5" t="s">
        <v>308</v>
      </c>
      <c r="F133" s="6">
        <v>105</v>
      </c>
      <c r="G133" s="6">
        <v>104</v>
      </c>
      <c r="H133" s="7">
        <f>IF(F133&gt;0,G133/F133,"n/a")</f>
        <v>0.99</v>
      </c>
      <c r="I133" s="6">
        <v>0</v>
      </c>
      <c r="J133" s="5" t="s">
        <v>19</v>
      </c>
      <c r="K133" s="6">
        <v>67</v>
      </c>
      <c r="L133" s="6">
        <v>62</v>
      </c>
      <c r="M133" s="7">
        <f>IF(K133&gt;0,L133/K133,"n/a")</f>
        <v>0.925</v>
      </c>
      <c r="N133" s="8">
        <f>IF(AND(F133&gt;0,K133&gt;0),(H133-M133)*100,"n/a")</f>
        <v>6.5</v>
      </c>
      <c r="O133" s="5" t="s">
        <v>20</v>
      </c>
    </row>
    <row r="134" spans="1:15">
      <c r="A134" s="5" t="s">
        <v>283</v>
      </c>
      <c r="B134" s="5" t="s">
        <v>283</v>
      </c>
      <c r="C134" s="5" t="s">
        <v>294</v>
      </c>
      <c r="D134" s="5" t="s">
        <v>309</v>
      </c>
      <c r="E134" s="5" t="s">
        <v>310</v>
      </c>
      <c r="F134" s="6">
        <v>65</v>
      </c>
      <c r="G134" s="6">
        <v>60</v>
      </c>
      <c r="H134" s="7">
        <f>IF(F134&gt;0,G134/F134,"n/a")</f>
        <v>0.9229999999999999</v>
      </c>
      <c r="I134" s="6">
        <v>0</v>
      </c>
      <c r="J134" s="5" t="s">
        <v>19</v>
      </c>
      <c r="K134" s="6">
        <v>31</v>
      </c>
      <c r="L134" s="6">
        <v>28</v>
      </c>
      <c r="M134" s="7">
        <f>IF(K134&gt;0,L134/K134,"n/a")</f>
        <v>0.903</v>
      </c>
      <c r="N134" s="8">
        <f>IF(AND(F134&gt;0,K134&gt;0),(H134-M134)*100,"n/a")</f>
        <v>2.0</v>
      </c>
      <c r="O134" s="5" t="s">
        <v>20</v>
      </c>
    </row>
    <row r="135" spans="1:15">
      <c r="A135" s="5" t="s">
        <v>283</v>
      </c>
      <c r="B135" s="5" t="s">
        <v>283</v>
      </c>
      <c r="C135" s="5" t="s">
        <v>294</v>
      </c>
      <c r="D135" s="5" t="s">
        <v>311</v>
      </c>
      <c r="E135" s="5" t="s">
        <v>312</v>
      </c>
      <c r="F135" s="6">
        <v>43</v>
      </c>
      <c r="G135" s="6">
        <v>41</v>
      </c>
      <c r="H135" s="7">
        <f>IF(F135&gt;0,G135/F135,"n/a")</f>
        <v>0.953</v>
      </c>
      <c r="I135" s="6">
        <v>0</v>
      </c>
      <c r="J135" s="5" t="s">
        <v>19</v>
      </c>
      <c r="K135" s="6">
        <v>14</v>
      </c>
      <c r="L135" s="6">
        <v>15</v>
      </c>
      <c r="M135" s="7">
        <f>IF(K135&gt;0,L135/K135,"n/a")</f>
        <v>1.071</v>
      </c>
      <c r="N135" s="8">
        <f>IF(AND(F135&gt;0,K135&gt;0),(H135-M135)*100,"n/a")</f>
        <v>-11.8</v>
      </c>
      <c r="O135" s="5" t="s">
        <v>20</v>
      </c>
    </row>
    <row r="136" spans="1:15">
      <c r="A136" s="5" t="s">
        <v>283</v>
      </c>
      <c r="B136" s="5" t="s">
        <v>283</v>
      </c>
      <c r="C136" s="5" t="s">
        <v>294</v>
      </c>
      <c r="D136" s="5" t="s">
        <v>313</v>
      </c>
      <c r="E136" s="5" t="s">
        <v>314</v>
      </c>
      <c r="F136" s="6">
        <v>109</v>
      </c>
      <c r="G136" s="6">
        <v>108</v>
      </c>
      <c r="H136" s="7">
        <f>IF(F136&gt;0,G136/F136,"n/a")</f>
        <v>0.991</v>
      </c>
      <c r="I136" s="6">
        <v>0</v>
      </c>
      <c r="J136" s="5" t="s">
        <v>19</v>
      </c>
      <c r="K136" s="6">
        <v>56</v>
      </c>
      <c r="L136" s="6">
        <v>56</v>
      </c>
      <c r="M136" s="7">
        <f>IF(K136&gt;0,L136/K136,"n/a")</f>
        <v>1.0</v>
      </c>
      <c r="N136" s="8">
        <f>IF(AND(F136&gt;0,K136&gt;0),(H136-M136)*100,"n/a")</f>
        <v>-0.9</v>
      </c>
      <c r="O136" s="5" t="s">
        <v>20</v>
      </c>
    </row>
    <row r="137" spans="1:15">
      <c r="A137" s="5" t="s">
        <v>283</v>
      </c>
      <c r="B137" s="5" t="s">
        <v>283</v>
      </c>
      <c r="C137" s="5" t="s">
        <v>294</v>
      </c>
      <c r="D137" s="5" t="s">
        <v>315</v>
      </c>
      <c r="E137" s="5" t="s">
        <v>316</v>
      </c>
      <c r="F137" s="6">
        <v>140</v>
      </c>
      <c r="G137" s="6">
        <v>139</v>
      </c>
      <c r="H137" s="7">
        <f>IF(F137&gt;0,G137/F137,"n/a")</f>
        <v>0.993</v>
      </c>
      <c r="I137" s="6">
        <v>0</v>
      </c>
      <c r="J137" s="5" t="s">
        <v>19</v>
      </c>
      <c r="K137" s="6">
        <v>50</v>
      </c>
      <c r="L137" s="6">
        <v>50</v>
      </c>
      <c r="M137" s="7">
        <f>IF(K137&gt;0,L137/K137,"n/a")</f>
        <v>1.0</v>
      </c>
      <c r="N137" s="8">
        <f>IF(AND(F137&gt;0,K137&gt;0),(H137-M137)*100,"n/a")</f>
        <v>-0.7</v>
      </c>
      <c r="O137" s="5" t="s">
        <v>20</v>
      </c>
    </row>
    <row r="138" spans="1:15">
      <c r="A138" s="5" t="s">
        <v>283</v>
      </c>
      <c r="B138" s="5" t="s">
        <v>283</v>
      </c>
      <c r="C138" s="5" t="s">
        <v>294</v>
      </c>
      <c r="D138" s="5" t="s">
        <v>317</v>
      </c>
      <c r="E138" s="5" t="s">
        <v>318</v>
      </c>
      <c r="F138" s="6">
        <v>103</v>
      </c>
      <c r="G138" s="6">
        <v>87</v>
      </c>
      <c r="H138" s="7">
        <f>IF(F138&gt;0,G138/F138,"n/a")</f>
        <v>0.845</v>
      </c>
      <c r="I138" s="6">
        <v>0</v>
      </c>
      <c r="J138" s="5" t="s">
        <v>19</v>
      </c>
      <c r="K138" s="6">
        <v>53</v>
      </c>
      <c r="L138" s="6">
        <v>53</v>
      </c>
      <c r="M138" s="7">
        <f>IF(K138&gt;0,L138/K138,"n/a")</f>
        <v>1.0</v>
      </c>
      <c r="N138" s="8">
        <f>IF(AND(F138&gt;0,K138&gt;0),(H138-M138)*100,"n/a")</f>
        <v>-15.5</v>
      </c>
      <c r="O138" s="5" t="s">
        <v>20</v>
      </c>
    </row>
    <row r="139" spans="1:15">
      <c r="A139" s="5" t="s">
        <v>283</v>
      </c>
      <c r="B139" s="5" t="s">
        <v>283</v>
      </c>
      <c r="C139" s="5" t="s">
        <v>294</v>
      </c>
      <c r="D139" s="5" t="s">
        <v>319</v>
      </c>
      <c r="E139" s="5" t="s">
        <v>320</v>
      </c>
      <c r="F139" s="6">
        <v>270</v>
      </c>
      <c r="G139" s="6">
        <v>271</v>
      </c>
      <c r="H139" s="7">
        <f>IF(F139&gt;0,G139/F139,"n/a")</f>
        <v>1.004</v>
      </c>
      <c r="I139" s="6">
        <v>0</v>
      </c>
      <c r="J139" s="5" t="s">
        <v>19</v>
      </c>
      <c r="K139" s="6">
        <v>108</v>
      </c>
      <c r="L139" s="6">
        <v>108</v>
      </c>
      <c r="M139" s="7">
        <f>IF(K139&gt;0,L139/K139,"n/a")</f>
        <v>1.0</v>
      </c>
      <c r="N139" s="8">
        <f>IF(AND(F139&gt;0,K139&gt;0),(H139-M139)*100,"n/a")</f>
        <v>0.4</v>
      </c>
      <c r="O139" s="5" t="s">
        <v>20</v>
      </c>
    </row>
    <row r="140" spans="1:15">
      <c r="A140" s="5" t="s">
        <v>283</v>
      </c>
      <c r="B140" s="5" t="s">
        <v>283</v>
      </c>
      <c r="C140" s="5" t="s">
        <v>294</v>
      </c>
      <c r="D140" s="5" t="s">
        <v>321</v>
      </c>
      <c r="E140" s="5" t="s">
        <v>322</v>
      </c>
      <c r="F140" s="6">
        <v>118</v>
      </c>
      <c r="G140" s="6">
        <v>136</v>
      </c>
      <c r="H140" s="7">
        <f>IF(F140&gt;0,G140/F140,"n/a")</f>
        <v>1.153</v>
      </c>
      <c r="I140" s="6">
        <v>0</v>
      </c>
      <c r="J140" s="5" t="s">
        <v>26</v>
      </c>
      <c r="K140" s="6">
        <v>61</v>
      </c>
      <c r="L140" s="6">
        <v>59</v>
      </c>
      <c r="M140" s="7">
        <f>IF(K140&gt;0,L140/K140,"n/a")</f>
        <v>0.9670000000000001</v>
      </c>
      <c r="N140" s="8">
        <f>IF(AND(F140&gt;0,K140&gt;0),(H140-M140)*100,"n/a")</f>
        <v>18.5</v>
      </c>
      <c r="O140" s="5" t="s">
        <v>20</v>
      </c>
    </row>
    <row r="141" spans="1:15">
      <c r="A141" s="5" t="s">
        <v>283</v>
      </c>
      <c r="B141" s="5" t="s">
        <v>283</v>
      </c>
      <c r="C141" s="5" t="s">
        <v>294</v>
      </c>
      <c r="D141" s="5" t="s">
        <v>323</v>
      </c>
      <c r="E141" s="5" t="s">
        <v>324</v>
      </c>
      <c r="F141" s="6">
        <v>151</v>
      </c>
      <c r="G141" s="6">
        <v>132</v>
      </c>
      <c r="H141" s="7">
        <f>IF(F141&gt;0,G141/F141,"n/a")</f>
        <v>0.8740000000000001</v>
      </c>
      <c r="I141" s="6">
        <v>0</v>
      </c>
      <c r="J141" s="5" t="s">
        <v>19</v>
      </c>
      <c r="K141" s="6">
        <v>88</v>
      </c>
      <c r="L141" s="6">
        <v>75</v>
      </c>
      <c r="M141" s="7">
        <f>IF(K141&gt;0,L141/K141,"n/a")</f>
        <v>0.852</v>
      </c>
      <c r="N141" s="8">
        <f>IF(AND(F141&gt;0,K141&gt;0),(H141-M141)*100,"n/a")</f>
        <v>2.2</v>
      </c>
      <c r="O141" s="5" t="s">
        <v>20</v>
      </c>
    </row>
    <row r="142" spans="1:15">
      <c r="A142" s="5" t="s">
        <v>283</v>
      </c>
      <c r="B142" s="5" t="s">
        <v>283</v>
      </c>
      <c r="C142" s="5" t="s">
        <v>294</v>
      </c>
      <c r="D142" s="5" t="s">
        <v>325</v>
      </c>
      <c r="E142" s="5" t="s">
        <v>326</v>
      </c>
      <c r="F142" s="6">
        <v>234</v>
      </c>
      <c r="G142" s="6">
        <v>223</v>
      </c>
      <c r="H142" s="7">
        <f>IF(F142&gt;0,G142/F142,"n/a")</f>
        <v>0.953</v>
      </c>
      <c r="I142" s="6">
        <v>0</v>
      </c>
      <c r="J142" s="5" t="s">
        <v>19</v>
      </c>
      <c r="K142" s="6">
        <v>162</v>
      </c>
      <c r="L142" s="6">
        <v>114</v>
      </c>
      <c r="M142" s="7">
        <f>IF(K142&gt;0,L142/K142,"n/a")</f>
        <v>0.7040000000000001</v>
      </c>
      <c r="N142" s="8">
        <f>IF(AND(F142&gt;0,K142&gt;0),(H142-M142)*100,"n/a")</f>
        <v>24.9</v>
      </c>
      <c r="O142" s="5" t="s">
        <v>23</v>
      </c>
    </row>
    <row r="143" spans="1:15">
      <c r="A143" s="5" t="s">
        <v>283</v>
      </c>
      <c r="B143" s="5" t="s">
        <v>283</v>
      </c>
      <c r="C143" s="5" t="s">
        <v>294</v>
      </c>
      <c r="D143" s="5" t="s">
        <v>327</v>
      </c>
      <c r="E143" s="5" t="s">
        <v>328</v>
      </c>
      <c r="F143" s="6">
        <v>226</v>
      </c>
      <c r="G143" s="6">
        <v>227</v>
      </c>
      <c r="H143" s="7">
        <f>IF(F143&gt;0,G143/F143,"n/a")</f>
        <v>1.004</v>
      </c>
      <c r="I143" s="6">
        <v>0</v>
      </c>
      <c r="J143" s="5" t="s">
        <v>19</v>
      </c>
      <c r="K143" s="6">
        <v>87</v>
      </c>
      <c r="L143" s="6">
        <v>89</v>
      </c>
      <c r="M143" s="7">
        <f>IF(K143&gt;0,L143/K143,"n/a")</f>
        <v>1.023</v>
      </c>
      <c r="N143" s="8">
        <f>IF(AND(F143&gt;0,K143&gt;0),(H143-M143)*100,"n/a")</f>
        <v>-1.9</v>
      </c>
      <c r="O143" s="5" t="s">
        <v>20</v>
      </c>
    </row>
    <row r="144" spans="1:15">
      <c r="A144" s="5" t="s">
        <v>283</v>
      </c>
      <c r="B144" s="5" t="s">
        <v>283</v>
      </c>
      <c r="C144" s="5" t="s">
        <v>294</v>
      </c>
      <c r="D144" s="5" t="s">
        <v>329</v>
      </c>
      <c r="E144" s="5" t="s">
        <v>330</v>
      </c>
      <c r="F144" s="6">
        <v>170</v>
      </c>
      <c r="G144" s="6">
        <v>132</v>
      </c>
      <c r="H144" s="7">
        <f>IF(F144&gt;0,G144/F144,"n/a")</f>
        <v>0.7759999999999999</v>
      </c>
      <c r="I144" s="6">
        <v>0</v>
      </c>
      <c r="J144" s="5" t="s">
        <v>45</v>
      </c>
      <c r="K144" s="6">
        <v>93</v>
      </c>
      <c r="L144" s="6">
        <v>93</v>
      </c>
      <c r="M144" s="7">
        <f>IF(K144&gt;0,L144/K144,"n/a")</f>
        <v>1.0</v>
      </c>
      <c r="N144" s="8">
        <f>IF(AND(F144&gt;0,K144&gt;0),(H144-M144)*100,"n/a")</f>
        <v>-22.4</v>
      </c>
      <c r="O144" s="5" t="s">
        <v>68</v>
      </c>
    </row>
    <row r="145" spans="1:15">
      <c r="A145" s="5" t="s">
        <v>283</v>
      </c>
      <c r="B145" s="5" t="s">
        <v>283</v>
      </c>
      <c r="C145" s="5" t="s">
        <v>294</v>
      </c>
      <c r="D145" s="5" t="s">
        <v>331</v>
      </c>
      <c r="E145" s="5" t="s">
        <v>332</v>
      </c>
      <c r="F145" s="6">
        <v>130</v>
      </c>
      <c r="G145" s="6">
        <v>111</v>
      </c>
      <c r="H145" s="7">
        <f>IF(F145&gt;0,G145/F145,"n/a")</f>
        <v>0.8540000000000001</v>
      </c>
      <c r="I145" s="6">
        <v>0</v>
      </c>
      <c r="J145" s="5" t="s">
        <v>19</v>
      </c>
      <c r="K145" s="6">
        <v>63</v>
      </c>
      <c r="L145" s="6">
        <v>63</v>
      </c>
      <c r="M145" s="7">
        <f>IF(K145&gt;0,L145/K145,"n/a")</f>
        <v>1.0</v>
      </c>
      <c r="N145" s="8">
        <f>IF(AND(F145&gt;0,K145&gt;0),(H145-M145)*100,"n/a")</f>
        <v>-14.6</v>
      </c>
      <c r="O145" s="5" t="s">
        <v>20</v>
      </c>
    </row>
    <row r="146" spans="1:15">
      <c r="A146" s="5" t="s">
        <v>283</v>
      </c>
      <c r="B146" s="5" t="s">
        <v>283</v>
      </c>
      <c r="C146" s="5" t="s">
        <v>294</v>
      </c>
      <c r="D146" s="5" t="s">
        <v>333</v>
      </c>
      <c r="E146" s="5" t="s">
        <v>334</v>
      </c>
      <c r="F146" s="6">
        <v>75</v>
      </c>
      <c r="G146" s="6">
        <v>81</v>
      </c>
      <c r="H146" s="7">
        <f>IF(F146&gt;0,G146/F146,"n/a")</f>
        <v>1.08</v>
      </c>
      <c r="I146" s="6">
        <v>0</v>
      </c>
      <c r="J146" s="5" t="s">
        <v>19</v>
      </c>
      <c r="K146" s="6">
        <v>31</v>
      </c>
      <c r="L146" s="6">
        <v>13</v>
      </c>
      <c r="M146" s="7">
        <f>IF(K146&gt;0,L146/K146,"n/a")</f>
        <v>0.419</v>
      </c>
      <c r="N146" s="8">
        <f>IF(AND(F146&gt;0,K146&gt;0),(H146-M146)*100,"n/a")</f>
        <v>66.1</v>
      </c>
      <c r="O146" s="5" t="s">
        <v>23</v>
      </c>
    </row>
    <row r="147" spans="1:15">
      <c r="A147" s="5" t="s">
        <v>283</v>
      </c>
      <c r="B147" s="5" t="s">
        <v>283</v>
      </c>
      <c r="C147" s="5" t="s">
        <v>294</v>
      </c>
      <c r="D147" s="5" t="s">
        <v>335</v>
      </c>
      <c r="E147" s="5" t="s">
        <v>336</v>
      </c>
      <c r="F147" s="6">
        <v>167</v>
      </c>
      <c r="G147" s="6">
        <v>168</v>
      </c>
      <c r="H147" s="7">
        <f>IF(F147&gt;0,G147/F147,"n/a")</f>
        <v>1.006</v>
      </c>
      <c r="I147" s="6">
        <v>0</v>
      </c>
      <c r="J147" s="5" t="s">
        <v>19</v>
      </c>
      <c r="K147" s="6">
        <v>75</v>
      </c>
      <c r="L147" s="6">
        <v>75</v>
      </c>
      <c r="M147" s="7">
        <f>IF(K147&gt;0,L147/K147,"n/a")</f>
        <v>1.0</v>
      </c>
      <c r="N147" s="8">
        <f>IF(AND(F147&gt;0,K147&gt;0),(H147-M147)*100,"n/a")</f>
        <v>0.6</v>
      </c>
      <c r="O147" s="5" t="s">
        <v>20</v>
      </c>
    </row>
    <row r="148" spans="1:15">
      <c r="A148" s="5" t="s">
        <v>283</v>
      </c>
      <c r="B148" s="5" t="s">
        <v>283</v>
      </c>
      <c r="C148" s="5" t="s">
        <v>337</v>
      </c>
      <c r="D148" s="5" t="s">
        <v>338</v>
      </c>
      <c r="E148" s="5" t="s">
        <v>339</v>
      </c>
      <c r="F148" s="6">
        <v>87</v>
      </c>
      <c r="G148" s="6">
        <v>91</v>
      </c>
      <c r="H148" s="7">
        <f>IF(F148&gt;0,G148/F148,"n/a")</f>
        <v>1.046</v>
      </c>
      <c r="I148" s="6">
        <v>0</v>
      </c>
      <c r="J148" s="5" t="s">
        <v>19</v>
      </c>
      <c r="K148" s="6">
        <v>45</v>
      </c>
      <c r="L148" s="6">
        <v>45</v>
      </c>
      <c r="M148" s="7">
        <f>IF(K148&gt;0,L148/K148,"n/a")</f>
        <v>1.0</v>
      </c>
      <c r="N148" s="8">
        <f>IF(AND(F148&gt;0,K148&gt;0),(H148-M148)*100,"n/a")</f>
        <v>4.6</v>
      </c>
      <c r="O148" s="5" t="s">
        <v>20</v>
      </c>
    </row>
    <row r="149" spans="1:15">
      <c r="A149" s="5" t="s">
        <v>283</v>
      </c>
      <c r="B149" s="5" t="s">
        <v>283</v>
      </c>
      <c r="C149" s="5" t="s">
        <v>337</v>
      </c>
      <c r="D149" s="5" t="s">
        <v>340</v>
      </c>
      <c r="E149" s="5" t="s">
        <v>341</v>
      </c>
      <c r="F149" s="6">
        <v>132</v>
      </c>
      <c r="G149" s="6">
        <v>135</v>
      </c>
      <c r="H149" s="7">
        <f>IF(F149&gt;0,G149/F149,"n/a")</f>
        <v>1.023</v>
      </c>
      <c r="I149" s="6">
        <v>0</v>
      </c>
      <c r="J149" s="5" t="s">
        <v>19</v>
      </c>
      <c r="K149" s="6">
        <v>43</v>
      </c>
      <c r="L149" s="6">
        <v>43</v>
      </c>
      <c r="M149" s="7">
        <f>IF(K149&gt;0,L149/K149,"n/a")</f>
        <v>1.0</v>
      </c>
      <c r="N149" s="8">
        <f>IF(AND(F149&gt;0,K149&gt;0),(H149-M149)*100,"n/a")</f>
        <v>2.3</v>
      </c>
      <c r="O149" s="5" t="s">
        <v>20</v>
      </c>
    </row>
    <row r="150" spans="1:15">
      <c r="A150" s="5" t="s">
        <v>283</v>
      </c>
      <c r="B150" s="5" t="s">
        <v>283</v>
      </c>
      <c r="C150" s="5" t="s">
        <v>337</v>
      </c>
      <c r="D150" s="5" t="s">
        <v>342</v>
      </c>
      <c r="E150" s="5" t="s">
        <v>343</v>
      </c>
      <c r="F150" s="6">
        <v>75</v>
      </c>
      <c r="G150" s="6">
        <v>78</v>
      </c>
      <c r="H150" s="7">
        <f>IF(F150&gt;0,G150/F150,"n/a")</f>
        <v>1.04</v>
      </c>
      <c r="I150" s="6">
        <v>0</v>
      </c>
      <c r="J150" s="5" t="s">
        <v>19</v>
      </c>
      <c r="K150" s="6">
        <v>53</v>
      </c>
      <c r="L150" s="6">
        <v>53</v>
      </c>
      <c r="M150" s="7">
        <f>IF(K150&gt;0,L150/K150,"n/a")</f>
        <v>1.0</v>
      </c>
      <c r="N150" s="8">
        <f>IF(AND(F150&gt;0,K150&gt;0),(H150-M150)*100,"n/a")</f>
        <v>4.0</v>
      </c>
      <c r="O150" s="5" t="s">
        <v>20</v>
      </c>
    </row>
    <row r="151" spans="1:15">
      <c r="A151" s="5" t="s">
        <v>283</v>
      </c>
      <c r="B151" s="5" t="s">
        <v>283</v>
      </c>
      <c r="C151" s="5" t="s">
        <v>337</v>
      </c>
      <c r="D151" s="5" t="s">
        <v>344</v>
      </c>
      <c r="E151" s="5" t="s">
        <v>345</v>
      </c>
      <c r="F151" s="6">
        <v>92</v>
      </c>
      <c r="G151" s="6">
        <v>0</v>
      </c>
      <c r="H151" s="7">
        <f>IF(F151&gt;0,G151/F151,"n/a")</f>
        <v>0.0</v>
      </c>
      <c r="I151" s="6">
        <v>0</v>
      </c>
      <c r="J151" s="5" t="s">
        <v>67</v>
      </c>
      <c r="K151" s="6">
        <v>59</v>
      </c>
      <c r="L151" s="6">
        <v>57</v>
      </c>
      <c r="M151" s="7">
        <f>IF(K151&gt;0,L151/K151,"n/a")</f>
        <v>0.966</v>
      </c>
      <c r="N151" s="8">
        <f>IF(AND(F151&gt;0,K151&gt;0),(H151-M151)*100,"n/a")</f>
        <v>-96.6</v>
      </c>
      <c r="O151" s="5" t="s">
        <v>68</v>
      </c>
    </row>
    <row r="152" spans="1:15">
      <c r="A152" s="5" t="s">
        <v>283</v>
      </c>
      <c r="B152" s="5" t="s">
        <v>283</v>
      </c>
      <c r="C152" s="5" t="s">
        <v>337</v>
      </c>
      <c r="D152" s="5" t="s">
        <v>346</v>
      </c>
      <c r="E152" s="5" t="s">
        <v>347</v>
      </c>
      <c r="F152" s="6">
        <v>54</v>
      </c>
      <c r="G152" s="6">
        <v>54</v>
      </c>
      <c r="H152" s="7">
        <f>IF(F152&gt;0,G152/F152,"n/a")</f>
        <v>1.0</v>
      </c>
      <c r="I152" s="6">
        <v>0</v>
      </c>
      <c r="J152" s="5" t="s">
        <v>19</v>
      </c>
      <c r="K152" s="6">
        <v>32</v>
      </c>
      <c r="L152" s="6">
        <v>19</v>
      </c>
      <c r="M152" s="7">
        <f>IF(K152&gt;0,L152/K152,"n/a")</f>
        <v>0.594</v>
      </c>
      <c r="N152" s="8">
        <f>IF(AND(F152&gt;0,K152&gt;0),(H152-M152)*100,"n/a")</f>
        <v>40.6</v>
      </c>
      <c r="O152" s="5" t="s">
        <v>23</v>
      </c>
    </row>
    <row r="153" spans="1:15">
      <c r="A153" s="5" t="s">
        <v>283</v>
      </c>
      <c r="B153" s="5" t="s">
        <v>283</v>
      </c>
      <c r="C153" s="5" t="s">
        <v>348</v>
      </c>
      <c r="D153" s="5" t="s">
        <v>349</v>
      </c>
      <c r="E153" s="5" t="s">
        <v>350</v>
      </c>
      <c r="F153" s="6">
        <v>109</v>
      </c>
      <c r="G153" s="6">
        <v>88</v>
      </c>
      <c r="H153" s="7">
        <f>IF(F153&gt;0,G153/F153,"n/a")</f>
        <v>0.807</v>
      </c>
      <c r="I153" s="6">
        <v>0</v>
      </c>
      <c r="J153" s="5" t="s">
        <v>19</v>
      </c>
      <c r="K153" s="6">
        <v>49</v>
      </c>
      <c r="L153" s="6">
        <v>49</v>
      </c>
      <c r="M153" s="7">
        <f>IF(K153&gt;0,L153/K153,"n/a")</f>
        <v>1.0</v>
      </c>
      <c r="N153" s="8">
        <f>IF(AND(F153&gt;0,K153&gt;0),(H153-M153)*100,"n/a")</f>
        <v>-19.3</v>
      </c>
      <c r="O153" s="5" t="s">
        <v>20</v>
      </c>
    </row>
    <row r="154" spans="1:15">
      <c r="A154" s="5" t="s">
        <v>283</v>
      </c>
      <c r="B154" s="5" t="s">
        <v>283</v>
      </c>
      <c r="C154" s="5" t="s">
        <v>348</v>
      </c>
      <c r="D154" s="5" t="s">
        <v>348</v>
      </c>
      <c r="E154" s="5" t="s">
        <v>351</v>
      </c>
      <c r="F154" s="6">
        <v>101</v>
      </c>
      <c r="G154" s="6">
        <v>91</v>
      </c>
      <c r="H154" s="7">
        <f>IF(F154&gt;0,G154/F154,"n/a")</f>
        <v>0.9009999999999999</v>
      </c>
      <c r="I154" s="6">
        <v>0</v>
      </c>
      <c r="J154" s="5" t="s">
        <v>19</v>
      </c>
      <c r="K154" s="6">
        <v>63</v>
      </c>
      <c r="L154" s="6">
        <v>28</v>
      </c>
      <c r="M154" s="7">
        <f>IF(K154&gt;0,L154/K154,"n/a")</f>
        <v>0.444</v>
      </c>
      <c r="N154" s="8">
        <f>IF(AND(F154&gt;0,K154&gt;0),(H154-M154)*100,"n/a")</f>
        <v>45.7</v>
      </c>
      <c r="O154" s="5" t="s">
        <v>23</v>
      </c>
    </row>
    <row r="155" spans="1:15">
      <c r="A155" s="5" t="s">
        <v>283</v>
      </c>
      <c r="B155" s="5" t="s">
        <v>283</v>
      </c>
      <c r="C155" s="5" t="s">
        <v>348</v>
      </c>
      <c r="D155" s="5" t="s">
        <v>352</v>
      </c>
      <c r="E155" s="5" t="s">
        <v>353</v>
      </c>
      <c r="F155" s="6">
        <v>38</v>
      </c>
      <c r="G155" s="6">
        <v>16</v>
      </c>
      <c r="H155" s="7">
        <f>IF(F155&gt;0,G155/F155,"n/a")</f>
        <v>0.42100000000000004</v>
      </c>
      <c r="I155" s="6">
        <v>0</v>
      </c>
      <c r="J155" s="5" t="s">
        <v>232</v>
      </c>
      <c r="K155" s="6">
        <v>15</v>
      </c>
      <c r="L155" s="6">
        <v>15</v>
      </c>
      <c r="M155" s="7">
        <f>IF(K155&gt;0,L155/K155,"n/a")</f>
        <v>1.0</v>
      </c>
      <c r="N155" s="8">
        <f>IF(AND(F155&gt;0,K155&gt;0),(H155-M155)*100,"n/a")</f>
        <v>-57.9</v>
      </c>
      <c r="O155" s="5" t="s">
        <v>68</v>
      </c>
    </row>
    <row r="156" spans="1:15">
      <c r="A156" s="5" t="s">
        <v>283</v>
      </c>
      <c r="B156" s="5" t="s">
        <v>283</v>
      </c>
      <c r="C156" s="5" t="s">
        <v>348</v>
      </c>
      <c r="D156" s="5" t="s">
        <v>354</v>
      </c>
      <c r="E156" s="5" t="s">
        <v>355</v>
      </c>
      <c r="F156" s="6">
        <v>20</v>
      </c>
      <c r="G156" s="6">
        <v>20</v>
      </c>
      <c r="H156" s="7">
        <f>IF(F156&gt;0,G156/F156,"n/a")</f>
        <v>1.0</v>
      </c>
      <c r="I156" s="6">
        <v>0</v>
      </c>
      <c r="J156" s="5" t="s">
        <v>19</v>
      </c>
      <c r="K156" s="6">
        <v>18</v>
      </c>
      <c r="L156" s="6">
        <v>18</v>
      </c>
      <c r="M156" s="7">
        <f>IF(K156&gt;0,L156/K156,"n/a")</f>
        <v>1.0</v>
      </c>
      <c r="N156" s="8">
        <f>IF(AND(F156&gt;0,K156&gt;0),(H156-M156)*100,"n/a")</f>
        <v>0.0</v>
      </c>
      <c r="O156" s="5" t="s">
        <v>20</v>
      </c>
    </row>
    <row r="157" spans="1:15">
      <c r="A157" s="5" t="s">
        <v>283</v>
      </c>
      <c r="B157" s="5" t="s">
        <v>283</v>
      </c>
      <c r="C157" s="5" t="s">
        <v>356</v>
      </c>
      <c r="D157" s="5" t="s">
        <v>357</v>
      </c>
      <c r="E157" s="5" t="s">
        <v>358</v>
      </c>
      <c r="F157" s="6">
        <v>2</v>
      </c>
      <c r="G157" s="6">
        <v>2</v>
      </c>
      <c r="H157" s="7">
        <f>IF(F157&gt;0,G157/F157,"n/a")</f>
        <v>1.0</v>
      </c>
      <c r="I157" s="6">
        <v>0</v>
      </c>
      <c r="J157" s="5" t="s">
        <v>19</v>
      </c>
      <c r="K157" s="6">
        <v>4</v>
      </c>
      <c r="L157" s="6">
        <v>0</v>
      </c>
      <c r="M157" s="7">
        <f>IF(K157&gt;0,L157/K157,"n/a")</f>
        <v>0.0</v>
      </c>
      <c r="N157" s="8">
        <f>IF(AND(F157&gt;0,K157&gt;0),(H157-M157)*100,"n/a")</f>
        <v>100.0</v>
      </c>
      <c r="O157" s="5" t="s">
        <v>23</v>
      </c>
    </row>
    <row r="158" spans="1:15">
      <c r="A158" s="5" t="s">
        <v>283</v>
      </c>
      <c r="B158" s="5" t="s">
        <v>283</v>
      </c>
      <c r="C158" s="5" t="s">
        <v>356</v>
      </c>
      <c r="D158" s="5" t="s">
        <v>359</v>
      </c>
      <c r="E158" s="5" t="s">
        <v>360</v>
      </c>
      <c r="F158" s="6">
        <v>140</v>
      </c>
      <c r="G158" s="6">
        <v>151</v>
      </c>
      <c r="H158" s="7">
        <f>IF(F158&gt;0,G158/F158,"n/a")</f>
        <v>1.079</v>
      </c>
      <c r="I158" s="6">
        <v>0</v>
      </c>
      <c r="J158" s="5" t="s">
        <v>19</v>
      </c>
      <c r="K158" s="6">
        <v>64</v>
      </c>
      <c r="L158" s="6">
        <v>64</v>
      </c>
      <c r="M158" s="7">
        <f>IF(K158&gt;0,L158/K158,"n/a")</f>
        <v>1.0</v>
      </c>
      <c r="N158" s="8">
        <f>IF(AND(F158&gt;0,K158&gt;0),(H158-M158)*100,"n/a")</f>
        <v>7.9</v>
      </c>
      <c r="O158" s="5" t="s">
        <v>20</v>
      </c>
    </row>
    <row r="159" spans="1:15">
      <c r="A159" s="5" t="s">
        <v>283</v>
      </c>
      <c r="B159" s="5" t="s">
        <v>283</v>
      </c>
      <c r="C159" s="5" t="s">
        <v>356</v>
      </c>
      <c r="D159" s="5" t="s">
        <v>361</v>
      </c>
      <c r="E159" s="5" t="s">
        <v>362</v>
      </c>
      <c r="F159" s="6">
        <v>153</v>
      </c>
      <c r="G159" s="6">
        <v>153</v>
      </c>
      <c r="H159" s="7">
        <f>IF(F159&gt;0,G159/F159,"n/a")</f>
        <v>1.0</v>
      </c>
      <c r="I159" s="6">
        <v>0</v>
      </c>
      <c r="J159" s="5" t="s">
        <v>19</v>
      </c>
      <c r="K159" s="6">
        <v>59</v>
      </c>
      <c r="L159" s="6">
        <v>19</v>
      </c>
      <c r="M159" s="7">
        <f>IF(K159&gt;0,L159/K159,"n/a")</f>
        <v>0.322</v>
      </c>
      <c r="N159" s="8">
        <f>IF(AND(F159&gt;0,K159&gt;0),(H159-M159)*100,"n/a")</f>
        <v>67.8</v>
      </c>
      <c r="O159" s="5" t="s">
        <v>23</v>
      </c>
    </row>
    <row r="160" spans="1:15">
      <c r="A160" s="5" t="s">
        <v>283</v>
      </c>
      <c r="B160" s="5" t="s">
        <v>283</v>
      </c>
      <c r="C160" s="5" t="s">
        <v>356</v>
      </c>
      <c r="D160" s="5" t="s">
        <v>363</v>
      </c>
      <c r="E160" s="5" t="s">
        <v>364</v>
      </c>
      <c r="F160" s="6">
        <v>199</v>
      </c>
      <c r="G160" s="6">
        <v>206</v>
      </c>
      <c r="H160" s="7">
        <f>IF(F160&gt;0,G160/F160,"n/a")</f>
        <v>1.035</v>
      </c>
      <c r="I160" s="6">
        <v>0</v>
      </c>
      <c r="J160" s="5" t="s">
        <v>19</v>
      </c>
      <c r="K160" s="6">
        <v>79</v>
      </c>
      <c r="L160" s="6">
        <v>60</v>
      </c>
      <c r="M160" s="7">
        <f>IF(K160&gt;0,L160/K160,"n/a")</f>
        <v>0.759</v>
      </c>
      <c r="N160" s="8">
        <f>IF(AND(F160&gt;0,K160&gt;0),(H160-M160)*100,"n/a")</f>
        <v>27.6</v>
      </c>
      <c r="O160" s="5" t="s">
        <v>23</v>
      </c>
    </row>
    <row r="161" spans="1:15">
      <c r="A161" s="5" t="s">
        <v>283</v>
      </c>
      <c r="B161" s="5" t="s">
        <v>283</v>
      </c>
      <c r="C161" s="5" t="s">
        <v>356</v>
      </c>
      <c r="D161" s="5" t="s">
        <v>365</v>
      </c>
      <c r="E161" s="5" t="s">
        <v>366</v>
      </c>
      <c r="F161" s="6">
        <v>223</v>
      </c>
      <c r="G161" s="6">
        <v>223</v>
      </c>
      <c r="H161" s="7">
        <f>IF(F161&gt;0,G161/F161,"n/a")</f>
        <v>1.0</v>
      </c>
      <c r="I161" s="6">
        <v>0</v>
      </c>
      <c r="J161" s="5" t="s">
        <v>19</v>
      </c>
      <c r="K161" s="6">
        <v>79</v>
      </c>
      <c r="L161" s="6">
        <v>81</v>
      </c>
      <c r="M161" s="7">
        <f>IF(K161&gt;0,L161/K161,"n/a")</f>
        <v>1.025</v>
      </c>
      <c r="N161" s="8">
        <f>IF(AND(F161&gt;0,K161&gt;0),(H161-M161)*100,"n/a")</f>
        <v>-2.5</v>
      </c>
      <c r="O161" s="5" t="s">
        <v>20</v>
      </c>
    </row>
    <row r="162" spans="1:15">
      <c r="A162" s="5" t="s">
        <v>283</v>
      </c>
      <c r="B162" s="5" t="s">
        <v>283</v>
      </c>
      <c r="C162" s="5" t="s">
        <v>356</v>
      </c>
      <c r="D162" s="5" t="s">
        <v>367</v>
      </c>
      <c r="E162" s="5" t="s">
        <v>368</v>
      </c>
      <c r="F162" s="6">
        <v>153</v>
      </c>
      <c r="G162" s="6">
        <v>162</v>
      </c>
      <c r="H162" s="7">
        <f>IF(F162&gt;0,G162/F162,"n/a")</f>
        <v>1.0590000000000002</v>
      </c>
      <c r="I162" s="6">
        <v>0</v>
      </c>
      <c r="J162" s="5" t="s">
        <v>19</v>
      </c>
      <c r="K162" s="6">
        <v>38</v>
      </c>
      <c r="L162" s="6">
        <v>38</v>
      </c>
      <c r="M162" s="7">
        <f>IF(K162&gt;0,L162/K162,"n/a")</f>
        <v>1.0</v>
      </c>
      <c r="N162" s="8">
        <f>IF(AND(F162&gt;0,K162&gt;0),(H162-M162)*100,"n/a")</f>
        <v>5.9</v>
      </c>
      <c r="O162" s="5" t="s">
        <v>20</v>
      </c>
    </row>
    <row r="163" spans="1:15">
      <c r="A163" s="5" t="s">
        <v>283</v>
      </c>
      <c r="B163" s="5" t="s">
        <v>283</v>
      </c>
      <c r="C163" s="5" t="s">
        <v>356</v>
      </c>
      <c r="D163" s="5" t="s">
        <v>356</v>
      </c>
      <c r="E163" s="5" t="s">
        <v>369</v>
      </c>
      <c r="F163" s="6">
        <v>130</v>
      </c>
      <c r="G163" s="6">
        <v>120</v>
      </c>
      <c r="H163" s="7">
        <f>IF(F163&gt;0,G163/F163,"n/a")</f>
        <v>0.9229999999999999</v>
      </c>
      <c r="I163" s="6">
        <v>0</v>
      </c>
      <c r="J163" s="5" t="s">
        <v>19</v>
      </c>
      <c r="K163" s="6">
        <v>40</v>
      </c>
      <c r="L163" s="6">
        <v>40</v>
      </c>
      <c r="M163" s="7">
        <f>IF(K163&gt;0,L163/K163,"n/a")</f>
        <v>1.0</v>
      </c>
      <c r="N163" s="8">
        <f>IF(AND(F163&gt;0,K163&gt;0),(H163-M163)*100,"n/a")</f>
        <v>-7.7</v>
      </c>
      <c r="O163" s="5" t="s">
        <v>20</v>
      </c>
    </row>
    <row r="164" spans="1:15">
      <c r="A164" s="5" t="s">
        <v>283</v>
      </c>
      <c r="B164" s="5" t="s">
        <v>283</v>
      </c>
      <c r="C164" s="5" t="s">
        <v>370</v>
      </c>
      <c r="D164" s="5" t="s">
        <v>371</v>
      </c>
      <c r="E164" s="5" t="s">
        <v>372</v>
      </c>
      <c r="F164" s="6">
        <v>85</v>
      </c>
      <c r="G164" s="6">
        <v>90</v>
      </c>
      <c r="H164" s="7">
        <f>IF(F164&gt;0,G164/F164,"n/a")</f>
        <v>1.0590000000000002</v>
      </c>
      <c r="I164" s="6">
        <v>0</v>
      </c>
      <c r="J164" s="5" t="s">
        <v>19</v>
      </c>
      <c r="K164" s="6">
        <v>57</v>
      </c>
      <c r="L164" s="6">
        <v>56</v>
      </c>
      <c r="M164" s="7">
        <f>IF(K164&gt;0,L164/K164,"n/a")</f>
        <v>0.982</v>
      </c>
      <c r="N164" s="8">
        <f>IF(AND(F164&gt;0,K164&gt;0),(H164-M164)*100,"n/a")</f>
        <v>7.6</v>
      </c>
      <c r="O164" s="5" t="s">
        <v>20</v>
      </c>
    </row>
    <row r="165" spans="1:15">
      <c r="A165" s="5" t="s">
        <v>283</v>
      </c>
      <c r="B165" s="5" t="s">
        <v>283</v>
      </c>
      <c r="C165" s="5" t="s">
        <v>370</v>
      </c>
      <c r="D165" s="5" t="s">
        <v>373</v>
      </c>
      <c r="E165" s="5" t="s">
        <v>374</v>
      </c>
      <c r="F165" s="6">
        <v>121</v>
      </c>
      <c r="G165" s="6">
        <v>122</v>
      </c>
      <c r="H165" s="7">
        <f>IF(F165&gt;0,G165/F165,"n/a")</f>
        <v>1.008</v>
      </c>
      <c r="I165" s="6">
        <v>0</v>
      </c>
      <c r="J165" s="5" t="s">
        <v>19</v>
      </c>
      <c r="K165" s="6">
        <v>63</v>
      </c>
      <c r="L165" s="6">
        <v>63</v>
      </c>
      <c r="M165" s="7">
        <f>IF(K165&gt;0,L165/K165,"n/a")</f>
        <v>1.0</v>
      </c>
      <c r="N165" s="8">
        <f>IF(AND(F165&gt;0,K165&gt;0),(H165-M165)*100,"n/a")</f>
        <v>0.8</v>
      </c>
      <c r="O165" s="5" t="s">
        <v>20</v>
      </c>
    </row>
    <row r="166" spans="1:15">
      <c r="A166" s="5" t="s">
        <v>283</v>
      </c>
      <c r="B166" s="5" t="s">
        <v>283</v>
      </c>
      <c r="C166" s="5" t="s">
        <v>370</v>
      </c>
      <c r="D166" s="5" t="s">
        <v>375</v>
      </c>
      <c r="E166" s="5" t="s">
        <v>376</v>
      </c>
      <c r="F166" s="6">
        <v>55</v>
      </c>
      <c r="G166" s="6">
        <v>55</v>
      </c>
      <c r="H166" s="7">
        <f>IF(F166&gt;0,G166/F166,"n/a")</f>
        <v>1.0</v>
      </c>
      <c r="I166" s="6">
        <v>0</v>
      </c>
      <c r="J166" s="5" t="s">
        <v>19</v>
      </c>
      <c r="K166" s="6">
        <v>50</v>
      </c>
      <c r="L166" s="6">
        <v>45</v>
      </c>
      <c r="M166" s="7">
        <f>IF(K166&gt;0,L166/K166,"n/a")</f>
        <v>0.9</v>
      </c>
      <c r="N166" s="8">
        <f>IF(AND(F166&gt;0,K166&gt;0),(H166-M166)*100,"n/a")</f>
        <v>10.0</v>
      </c>
      <c r="O166" s="5" t="s">
        <v>20</v>
      </c>
    </row>
    <row r="167" spans="1:15">
      <c r="A167" s="5" t="s">
        <v>283</v>
      </c>
      <c r="B167" s="5" t="s">
        <v>283</v>
      </c>
      <c r="C167" s="5" t="s">
        <v>370</v>
      </c>
      <c r="D167" s="5" t="s">
        <v>377</v>
      </c>
      <c r="E167" s="5" t="s">
        <v>378</v>
      </c>
      <c r="F167" s="6">
        <v>74</v>
      </c>
      <c r="G167" s="6">
        <v>75</v>
      </c>
      <c r="H167" s="7">
        <f>IF(F167&gt;0,G167/F167,"n/a")</f>
        <v>1.014</v>
      </c>
      <c r="I167" s="6">
        <v>0</v>
      </c>
      <c r="J167" s="5" t="s">
        <v>19</v>
      </c>
      <c r="K167" s="6">
        <v>41</v>
      </c>
      <c r="L167" s="6">
        <v>41</v>
      </c>
      <c r="M167" s="7">
        <f>IF(K167&gt;0,L167/K167,"n/a")</f>
        <v>1.0</v>
      </c>
      <c r="N167" s="8">
        <f>IF(AND(F167&gt;0,K167&gt;0),(H167-M167)*100,"n/a")</f>
        <v>1.4</v>
      </c>
      <c r="O167" s="5" t="s">
        <v>20</v>
      </c>
    </row>
    <row r="168" spans="1:15">
      <c r="A168" s="5" t="s">
        <v>283</v>
      </c>
      <c r="B168" s="5" t="s">
        <v>283</v>
      </c>
      <c r="C168" s="5" t="s">
        <v>370</v>
      </c>
      <c r="D168" s="5" t="s">
        <v>379</v>
      </c>
      <c r="E168" s="5" t="s">
        <v>380</v>
      </c>
      <c r="F168" s="6">
        <v>43</v>
      </c>
      <c r="G168" s="6">
        <v>43</v>
      </c>
      <c r="H168" s="7">
        <f>IF(F168&gt;0,G168/F168,"n/a")</f>
        <v>1.0</v>
      </c>
      <c r="I168" s="6">
        <v>0</v>
      </c>
      <c r="J168" s="5" t="s">
        <v>19</v>
      </c>
      <c r="K168" s="6">
        <v>20</v>
      </c>
      <c r="L168" s="6">
        <v>20</v>
      </c>
      <c r="M168" s="7">
        <f>IF(K168&gt;0,L168/K168,"n/a")</f>
        <v>1.0</v>
      </c>
      <c r="N168" s="8">
        <f>IF(AND(F168&gt;0,K168&gt;0),(H168-M168)*100,"n/a")</f>
        <v>0.0</v>
      </c>
      <c r="O168" s="5" t="s">
        <v>20</v>
      </c>
    </row>
    <row r="169" spans="1:15">
      <c r="A169" s="5" t="s">
        <v>283</v>
      </c>
      <c r="B169" s="5" t="s">
        <v>283</v>
      </c>
      <c r="C169" s="5" t="s">
        <v>370</v>
      </c>
      <c r="D169" s="5" t="s">
        <v>381</v>
      </c>
      <c r="E169" s="5" t="s">
        <v>382</v>
      </c>
      <c r="F169" s="6">
        <v>49</v>
      </c>
      <c r="G169" s="6">
        <v>49</v>
      </c>
      <c r="H169" s="7">
        <f>IF(F169&gt;0,G169/F169,"n/a")</f>
        <v>1.0</v>
      </c>
      <c r="I169" s="6">
        <v>0</v>
      </c>
      <c r="J169" s="5" t="s">
        <v>19</v>
      </c>
      <c r="K169" s="6">
        <v>40</v>
      </c>
      <c r="L169" s="6">
        <v>39</v>
      </c>
      <c r="M169" s="7">
        <f>IF(K169&gt;0,L169/K169,"n/a")</f>
        <v>0.975</v>
      </c>
      <c r="N169" s="8">
        <f>IF(AND(F169&gt;0,K169&gt;0),(H169-M169)*100,"n/a")</f>
        <v>2.5</v>
      </c>
      <c r="O169" s="5" t="s">
        <v>20</v>
      </c>
    </row>
    <row r="170" spans="1:15">
      <c r="A170" s="5" t="s">
        <v>283</v>
      </c>
      <c r="B170" s="5" t="s">
        <v>283</v>
      </c>
      <c r="C170" s="5" t="s">
        <v>370</v>
      </c>
      <c r="D170" s="5" t="s">
        <v>383</v>
      </c>
      <c r="E170" s="5" t="s">
        <v>384</v>
      </c>
      <c r="F170" s="6">
        <v>86</v>
      </c>
      <c r="G170" s="6">
        <v>88</v>
      </c>
      <c r="H170" s="7">
        <f>IF(F170&gt;0,G170/F170,"n/a")</f>
        <v>1.023</v>
      </c>
      <c r="I170" s="6">
        <v>3</v>
      </c>
      <c r="J170" s="5" t="s">
        <v>385</v>
      </c>
      <c r="K170" s="6">
        <v>60</v>
      </c>
      <c r="L170" s="6">
        <v>60</v>
      </c>
      <c r="M170" s="7">
        <f>IF(K170&gt;0,L170/K170,"n/a")</f>
        <v>1.0</v>
      </c>
      <c r="N170" s="8">
        <f>IF(AND(F170&gt;0,K170&gt;0),(H170-M170)*100,"n/a")</f>
        <v>2.3</v>
      </c>
      <c r="O170" s="5" t="s">
        <v>20</v>
      </c>
    </row>
    <row r="171" spans="1:15">
      <c r="A171" s="5" t="s">
        <v>283</v>
      </c>
      <c r="B171" s="5" t="s">
        <v>283</v>
      </c>
      <c r="C171" s="5" t="s">
        <v>370</v>
      </c>
      <c r="D171" s="5" t="s">
        <v>386</v>
      </c>
      <c r="E171" s="5" t="s">
        <v>387</v>
      </c>
      <c r="F171" s="6">
        <v>58</v>
      </c>
      <c r="G171" s="6">
        <v>59</v>
      </c>
      <c r="H171" s="7">
        <f>IF(F171&gt;0,G171/F171,"n/a")</f>
        <v>1.0170000000000001</v>
      </c>
      <c r="I171" s="6">
        <v>0</v>
      </c>
      <c r="J171" s="5" t="s">
        <v>19</v>
      </c>
      <c r="K171" s="6">
        <v>38</v>
      </c>
      <c r="L171" s="6">
        <v>38</v>
      </c>
      <c r="M171" s="7">
        <f>IF(K171&gt;0,L171/K171,"n/a")</f>
        <v>1.0</v>
      </c>
      <c r="N171" s="8">
        <f>IF(AND(F171&gt;0,K171&gt;0),(H171-M171)*100,"n/a")</f>
        <v>1.7</v>
      </c>
      <c r="O171" s="5" t="s">
        <v>20</v>
      </c>
    </row>
    <row r="172" spans="1:15">
      <c r="A172" s="5" t="s">
        <v>283</v>
      </c>
      <c r="B172" s="5" t="s">
        <v>283</v>
      </c>
      <c r="C172" s="5" t="s">
        <v>370</v>
      </c>
      <c r="D172" s="5" t="s">
        <v>388</v>
      </c>
      <c r="E172" s="5" t="s">
        <v>389</v>
      </c>
      <c r="F172" s="6">
        <v>62</v>
      </c>
      <c r="G172" s="6">
        <v>66</v>
      </c>
      <c r="H172" s="7">
        <f>IF(F172&gt;0,G172/F172,"n/a")</f>
        <v>1.065</v>
      </c>
      <c r="I172" s="6">
        <v>0</v>
      </c>
      <c r="J172" s="5" t="s">
        <v>19</v>
      </c>
      <c r="K172" s="6">
        <v>51</v>
      </c>
      <c r="L172" s="6">
        <v>52</v>
      </c>
      <c r="M172" s="7">
        <f>IF(K172&gt;0,L172/K172,"n/a")</f>
        <v>1.02</v>
      </c>
      <c r="N172" s="8">
        <f>IF(AND(F172&gt;0,K172&gt;0),(H172-M172)*100,"n/a")</f>
        <v>4.5</v>
      </c>
      <c r="O172" s="5" t="s">
        <v>20</v>
      </c>
    </row>
    <row r="173" spans="1:15">
      <c r="A173" s="5" t="s">
        <v>283</v>
      </c>
      <c r="B173" s="5" t="s">
        <v>283</v>
      </c>
      <c r="C173" s="5" t="s">
        <v>370</v>
      </c>
      <c r="D173" s="5" t="s">
        <v>390</v>
      </c>
      <c r="E173" s="5" t="s">
        <v>391</v>
      </c>
      <c r="F173" s="6">
        <v>53</v>
      </c>
      <c r="G173" s="6">
        <v>50</v>
      </c>
      <c r="H173" s="7">
        <f>IF(F173&gt;0,G173/F173,"n/a")</f>
        <v>0.943</v>
      </c>
      <c r="I173" s="6">
        <v>0</v>
      </c>
      <c r="J173" s="5" t="s">
        <v>19</v>
      </c>
      <c r="K173" s="6">
        <v>38</v>
      </c>
      <c r="L173" s="6">
        <v>38</v>
      </c>
      <c r="M173" s="7">
        <f>IF(K173&gt;0,L173/K173,"n/a")</f>
        <v>1.0</v>
      </c>
      <c r="N173" s="8">
        <f>IF(AND(F173&gt;0,K173&gt;0),(H173-M173)*100,"n/a")</f>
        <v>-5.7</v>
      </c>
      <c r="O173" s="5" t="s">
        <v>20</v>
      </c>
    </row>
    <row r="174" spans="1:15">
      <c r="A174" s="5" t="s">
        <v>283</v>
      </c>
      <c r="B174" s="5" t="s">
        <v>283</v>
      </c>
      <c r="C174" s="5" t="s">
        <v>370</v>
      </c>
      <c r="D174" s="5" t="s">
        <v>392</v>
      </c>
      <c r="E174" s="5" t="s">
        <v>393</v>
      </c>
      <c r="F174" s="6">
        <v>211</v>
      </c>
      <c r="G174" s="6">
        <v>212</v>
      </c>
      <c r="H174" s="7">
        <f>IF(F174&gt;0,G174/F174,"n/a")</f>
        <v>1.005</v>
      </c>
      <c r="I174" s="6">
        <v>0</v>
      </c>
      <c r="J174" s="5" t="s">
        <v>19</v>
      </c>
      <c r="K174" s="6">
        <v>119</v>
      </c>
      <c r="L174" s="6">
        <v>119</v>
      </c>
      <c r="M174" s="7">
        <f>IF(K174&gt;0,L174/K174,"n/a")</f>
        <v>1.0</v>
      </c>
      <c r="N174" s="8">
        <f>IF(AND(F174&gt;0,K174&gt;0),(H174-M174)*100,"n/a")</f>
        <v>0.5</v>
      </c>
      <c r="O174" s="5" t="s">
        <v>20</v>
      </c>
    </row>
    <row r="175" spans="1:15">
      <c r="A175" s="5" t="s">
        <v>283</v>
      </c>
      <c r="B175" s="5" t="s">
        <v>394</v>
      </c>
      <c r="C175" s="5" t="s">
        <v>395</v>
      </c>
      <c r="D175" s="5" t="s">
        <v>396</v>
      </c>
      <c r="E175" s="5" t="s">
        <v>397</v>
      </c>
      <c r="F175" s="6">
        <v>22</v>
      </c>
      <c r="G175" s="6">
        <v>24</v>
      </c>
      <c r="H175" s="7">
        <f>IF(F175&gt;0,G175/F175,"n/a")</f>
        <v>1.091</v>
      </c>
      <c r="I175" s="6">
        <v>0</v>
      </c>
      <c r="J175" s="5" t="s">
        <v>19</v>
      </c>
      <c r="K175" s="6">
        <v>8</v>
      </c>
      <c r="L175" s="6">
        <v>8</v>
      </c>
      <c r="M175" s="7">
        <f>IF(K175&gt;0,L175/K175,"n/a")</f>
        <v>1.0</v>
      </c>
      <c r="N175" s="8">
        <f>IF(AND(F175&gt;0,K175&gt;0),(H175-M175)*100,"n/a")</f>
        <v>9.1</v>
      </c>
      <c r="O175" s="5" t="s">
        <v>20</v>
      </c>
    </row>
    <row r="176" spans="1:15">
      <c r="A176" s="5" t="s">
        <v>283</v>
      </c>
      <c r="B176" s="5" t="s">
        <v>394</v>
      </c>
      <c r="C176" s="5" t="s">
        <v>395</v>
      </c>
      <c r="D176" s="5" t="s">
        <v>398</v>
      </c>
      <c r="E176" s="5" t="s">
        <v>399</v>
      </c>
      <c r="F176" s="6">
        <v>20</v>
      </c>
      <c r="G176" s="6">
        <v>20</v>
      </c>
      <c r="H176" s="7">
        <f>IF(F176&gt;0,G176/F176,"n/a")</f>
        <v>1.0</v>
      </c>
      <c r="I176" s="6">
        <v>0</v>
      </c>
      <c r="J176" s="5" t="s">
        <v>19</v>
      </c>
      <c r="K176" s="6">
        <v>7</v>
      </c>
      <c r="L176" s="6">
        <v>7</v>
      </c>
      <c r="M176" s="7">
        <f>IF(K176&gt;0,L176/K176,"n/a")</f>
        <v>1.0</v>
      </c>
      <c r="N176" s="8">
        <f>IF(AND(F176&gt;0,K176&gt;0),(H176-M176)*100,"n/a")</f>
        <v>0.0</v>
      </c>
      <c r="O176" s="5" t="s">
        <v>20</v>
      </c>
    </row>
    <row r="177" spans="1:15">
      <c r="A177" s="5" t="s">
        <v>283</v>
      </c>
      <c r="B177" s="5" t="s">
        <v>394</v>
      </c>
      <c r="C177" s="5" t="s">
        <v>395</v>
      </c>
      <c r="D177" s="5" t="s">
        <v>400</v>
      </c>
      <c r="E177" s="5" t="s">
        <v>401</v>
      </c>
      <c r="F177" s="6">
        <v>0</v>
      </c>
      <c r="G177" s="6">
        <v>0</v>
      </c>
      <c r="H177" s="7" t="str">
        <f>IF(F177&gt;0,G177/F177,"n/a")</f>
        <v>n/a</v>
      </c>
      <c r="I177" s="6">
        <v>0</v>
      </c>
      <c r="J177" s="5" t="s">
        <v>19</v>
      </c>
      <c r="K177" s="6">
        <v>0</v>
      </c>
      <c r="L177" s="6">
        <v>0</v>
      </c>
      <c r="M177" s="7" t="str">
        <f>IF(K177&gt;0,L177/K177,"n/a")</f>
        <v>n/a</v>
      </c>
      <c r="N177" s="8" t="str">
        <f>IF(AND(F177&gt;0,K177&gt;0),(H177-M177)*100,"n/a")</f>
        <v>n/a</v>
      </c>
      <c r="O177" s="5" t="s">
        <v>100</v>
      </c>
    </row>
    <row r="178" spans="1:15">
      <c r="A178" s="5" t="s">
        <v>283</v>
      </c>
      <c r="B178" s="5" t="s">
        <v>394</v>
      </c>
      <c r="C178" s="5" t="s">
        <v>395</v>
      </c>
      <c r="D178" s="5" t="s">
        <v>402</v>
      </c>
      <c r="E178" s="5" t="s">
        <v>403</v>
      </c>
      <c r="F178" s="6">
        <v>7</v>
      </c>
      <c r="G178" s="6">
        <v>0</v>
      </c>
      <c r="H178" s="7">
        <f>IF(F178&gt;0,G178/F178,"n/a")</f>
        <v>0.0</v>
      </c>
      <c r="I178" s="6">
        <v>0</v>
      </c>
      <c r="J178" s="5" t="s">
        <v>67</v>
      </c>
      <c r="K178" s="6">
        <v>12</v>
      </c>
      <c r="L178" s="6">
        <v>12</v>
      </c>
      <c r="M178" s="7">
        <f>IF(K178&gt;0,L178/K178,"n/a")</f>
        <v>1.0</v>
      </c>
      <c r="N178" s="8">
        <f>IF(AND(F178&gt;0,K178&gt;0),(H178-M178)*100,"n/a")</f>
        <v>-100.0</v>
      </c>
      <c r="O178" s="5" t="s">
        <v>68</v>
      </c>
    </row>
    <row r="179" spans="1:15">
      <c r="A179" s="5" t="s">
        <v>283</v>
      </c>
      <c r="B179" s="5" t="s">
        <v>394</v>
      </c>
      <c r="C179" s="5" t="s">
        <v>395</v>
      </c>
      <c r="D179" s="5" t="s">
        <v>404</v>
      </c>
      <c r="E179" s="5" t="s">
        <v>405</v>
      </c>
      <c r="F179" s="6">
        <v>23</v>
      </c>
      <c r="G179" s="6">
        <v>18</v>
      </c>
      <c r="H179" s="7">
        <f>IF(F179&gt;0,G179/F179,"n/a")</f>
        <v>0.7829999999999999</v>
      </c>
      <c r="I179" s="6">
        <v>0</v>
      </c>
      <c r="J179" s="5" t="s">
        <v>45</v>
      </c>
      <c r="K179" s="6">
        <v>10</v>
      </c>
      <c r="L179" s="6">
        <v>10</v>
      </c>
      <c r="M179" s="7">
        <f>IF(K179&gt;0,L179/K179,"n/a")</f>
        <v>1.0</v>
      </c>
      <c r="N179" s="8">
        <f>IF(AND(F179&gt;0,K179&gt;0),(H179-M179)*100,"n/a")</f>
        <v>-21.7</v>
      </c>
      <c r="O179" s="5" t="s">
        <v>68</v>
      </c>
    </row>
    <row r="180" spans="1:15">
      <c r="A180" s="5" t="s">
        <v>283</v>
      </c>
      <c r="B180" s="5" t="s">
        <v>394</v>
      </c>
      <c r="C180" s="5" t="s">
        <v>395</v>
      </c>
      <c r="D180" s="5" t="s">
        <v>406</v>
      </c>
      <c r="E180" s="5" t="s">
        <v>407</v>
      </c>
      <c r="F180" s="6">
        <v>4</v>
      </c>
      <c r="G180" s="6">
        <v>0</v>
      </c>
      <c r="H180" s="7">
        <f>IF(F180&gt;0,G180/F180,"n/a")</f>
        <v>0.0</v>
      </c>
      <c r="I180" s="6">
        <v>0</v>
      </c>
      <c r="J180" s="5" t="s">
        <v>67</v>
      </c>
      <c r="K180" s="6">
        <v>6</v>
      </c>
      <c r="L180" s="6">
        <v>6</v>
      </c>
      <c r="M180" s="7">
        <f>IF(K180&gt;0,L180/K180,"n/a")</f>
        <v>1.0</v>
      </c>
      <c r="N180" s="8">
        <f>IF(AND(F180&gt;0,K180&gt;0),(H180-M180)*100,"n/a")</f>
        <v>-100.0</v>
      </c>
      <c r="O180" s="5" t="s">
        <v>68</v>
      </c>
    </row>
    <row r="181" spans="1:15">
      <c r="A181" s="5" t="s">
        <v>283</v>
      </c>
      <c r="B181" s="5" t="s">
        <v>394</v>
      </c>
      <c r="C181" s="5" t="s">
        <v>394</v>
      </c>
      <c r="D181" s="5" t="s">
        <v>408</v>
      </c>
      <c r="E181" s="5" t="s">
        <v>409</v>
      </c>
      <c r="F181" s="6">
        <v>62</v>
      </c>
      <c r="G181" s="6">
        <v>15</v>
      </c>
      <c r="H181" s="7">
        <f>IF(F181&gt;0,G181/F181,"n/a")</f>
        <v>0.242</v>
      </c>
      <c r="I181" s="6">
        <v>0</v>
      </c>
      <c r="J181" s="5" t="s">
        <v>232</v>
      </c>
      <c r="K181" s="6">
        <v>33</v>
      </c>
      <c r="L181" s="6">
        <v>32</v>
      </c>
      <c r="M181" s="7">
        <f>IF(K181&gt;0,L181/K181,"n/a")</f>
        <v>0.97</v>
      </c>
      <c r="N181" s="8">
        <f>IF(AND(F181&gt;0,K181&gt;0),(H181-M181)*100,"n/a")</f>
        <v>-72.8</v>
      </c>
      <c r="O181" s="5" t="s">
        <v>68</v>
      </c>
    </row>
    <row r="182" spans="1:15">
      <c r="A182" s="5" t="s">
        <v>283</v>
      </c>
      <c r="B182" s="5" t="s">
        <v>394</v>
      </c>
      <c r="C182" s="5" t="s">
        <v>394</v>
      </c>
      <c r="D182" s="5" t="s">
        <v>410</v>
      </c>
      <c r="E182" s="5" t="s">
        <v>411</v>
      </c>
      <c r="F182" s="6">
        <v>81</v>
      </c>
      <c r="G182" s="6">
        <v>0</v>
      </c>
      <c r="H182" s="7">
        <f>IF(F182&gt;0,G182/F182,"n/a")</f>
        <v>0.0</v>
      </c>
      <c r="I182" s="6">
        <v>0</v>
      </c>
      <c r="J182" s="5" t="s">
        <v>67</v>
      </c>
      <c r="K182" s="6">
        <v>51</v>
      </c>
      <c r="L182" s="6">
        <v>57</v>
      </c>
      <c r="M182" s="7">
        <f>IF(K182&gt;0,L182/K182,"n/a")</f>
        <v>1.1179999999999999</v>
      </c>
      <c r="N182" s="8">
        <f>IF(AND(F182&gt;0,K182&gt;0),(H182-M182)*100,"n/a")</f>
        <v>-111.8</v>
      </c>
      <c r="O182" s="5" t="s">
        <v>68</v>
      </c>
    </row>
    <row r="183" spans="1:15">
      <c r="A183" s="5" t="s">
        <v>283</v>
      </c>
      <c r="B183" s="5" t="s">
        <v>394</v>
      </c>
      <c r="C183" s="5" t="s">
        <v>394</v>
      </c>
      <c r="D183" s="5" t="s">
        <v>412</v>
      </c>
      <c r="E183" s="5" t="s">
        <v>413</v>
      </c>
      <c r="F183" s="6">
        <v>88</v>
      </c>
      <c r="G183" s="6">
        <v>90</v>
      </c>
      <c r="H183" s="7">
        <f>IF(F183&gt;0,G183/F183,"n/a")</f>
        <v>1.023</v>
      </c>
      <c r="I183" s="6">
        <v>0</v>
      </c>
      <c r="J183" s="5" t="s">
        <v>19</v>
      </c>
      <c r="K183" s="6">
        <v>30</v>
      </c>
      <c r="L183" s="6">
        <v>30</v>
      </c>
      <c r="M183" s="7">
        <f>IF(K183&gt;0,L183/K183,"n/a")</f>
        <v>1.0</v>
      </c>
      <c r="N183" s="8">
        <f>IF(AND(F183&gt;0,K183&gt;0),(H183-M183)*100,"n/a")</f>
        <v>2.3</v>
      </c>
      <c r="O183" s="5" t="s">
        <v>20</v>
      </c>
    </row>
    <row r="184" spans="1:15">
      <c r="A184" s="5" t="s">
        <v>283</v>
      </c>
      <c r="B184" s="5" t="s">
        <v>394</v>
      </c>
      <c r="C184" s="5" t="s">
        <v>394</v>
      </c>
      <c r="D184" s="5" t="s">
        <v>414</v>
      </c>
      <c r="E184" s="5" t="s">
        <v>415</v>
      </c>
      <c r="F184" s="6">
        <v>30</v>
      </c>
      <c r="G184" s="6">
        <v>31</v>
      </c>
      <c r="H184" s="7">
        <f>IF(F184&gt;0,G184/F184,"n/a")</f>
        <v>1.033</v>
      </c>
      <c r="I184" s="6">
        <v>0</v>
      </c>
      <c r="J184" s="5" t="s">
        <v>19</v>
      </c>
      <c r="K184" s="6">
        <v>16</v>
      </c>
      <c r="L184" s="6">
        <v>16</v>
      </c>
      <c r="M184" s="7">
        <f>IF(K184&gt;0,L184/K184,"n/a")</f>
        <v>1.0</v>
      </c>
      <c r="N184" s="8">
        <f>IF(AND(F184&gt;0,K184&gt;0),(H184-M184)*100,"n/a")</f>
        <v>3.3</v>
      </c>
      <c r="O184" s="5" t="s">
        <v>20</v>
      </c>
    </row>
    <row r="185" spans="1:15">
      <c r="A185" s="5" t="s">
        <v>283</v>
      </c>
      <c r="B185" s="5" t="s">
        <v>394</v>
      </c>
      <c r="C185" s="5" t="s">
        <v>394</v>
      </c>
      <c r="D185" s="5" t="s">
        <v>416</v>
      </c>
      <c r="E185" s="5" t="s">
        <v>417</v>
      </c>
      <c r="F185" s="6">
        <v>84</v>
      </c>
      <c r="G185" s="6">
        <v>76</v>
      </c>
      <c r="H185" s="7">
        <f>IF(F185&gt;0,G185/F185,"n/a")</f>
        <v>0.905</v>
      </c>
      <c r="I185" s="6">
        <v>0</v>
      </c>
      <c r="J185" s="5" t="s">
        <v>19</v>
      </c>
      <c r="K185" s="6">
        <v>35</v>
      </c>
      <c r="L185" s="6">
        <v>24</v>
      </c>
      <c r="M185" s="7">
        <f>IF(K185&gt;0,L185/K185,"n/a")</f>
        <v>0.6859999999999999</v>
      </c>
      <c r="N185" s="8">
        <f>IF(AND(F185&gt;0,K185&gt;0),(H185-M185)*100,"n/a")</f>
        <v>21.9</v>
      </c>
      <c r="O185" s="5" t="s">
        <v>23</v>
      </c>
    </row>
    <row r="186" spans="1:15">
      <c r="A186" s="5" t="s">
        <v>283</v>
      </c>
      <c r="B186" s="5" t="s">
        <v>394</v>
      </c>
      <c r="C186" s="5" t="s">
        <v>394</v>
      </c>
      <c r="D186" s="5" t="s">
        <v>418</v>
      </c>
      <c r="E186" s="5" t="s">
        <v>419</v>
      </c>
      <c r="F186" s="6">
        <v>56</v>
      </c>
      <c r="G186" s="6">
        <v>56</v>
      </c>
      <c r="H186" s="7">
        <f>IF(F186&gt;0,G186/F186,"n/a")</f>
        <v>1.0</v>
      </c>
      <c r="I186" s="6">
        <v>0</v>
      </c>
      <c r="J186" s="5" t="s">
        <v>19</v>
      </c>
      <c r="K186" s="6">
        <v>36</v>
      </c>
      <c r="L186" s="6">
        <v>36</v>
      </c>
      <c r="M186" s="7">
        <f>IF(K186&gt;0,L186/K186,"n/a")</f>
        <v>1.0</v>
      </c>
      <c r="N186" s="8">
        <f>IF(AND(F186&gt;0,K186&gt;0),(H186-M186)*100,"n/a")</f>
        <v>0.0</v>
      </c>
      <c r="O186" s="5" t="s">
        <v>20</v>
      </c>
    </row>
    <row r="187" spans="1:15">
      <c r="A187" s="5" t="s">
        <v>283</v>
      </c>
      <c r="B187" s="5" t="s">
        <v>394</v>
      </c>
      <c r="C187" s="5" t="s">
        <v>394</v>
      </c>
      <c r="D187" s="5" t="s">
        <v>420</v>
      </c>
      <c r="E187" s="5" t="s">
        <v>421</v>
      </c>
      <c r="F187" s="6">
        <v>34</v>
      </c>
      <c r="G187" s="6">
        <v>34</v>
      </c>
      <c r="H187" s="7">
        <f>IF(F187&gt;0,G187/F187,"n/a")</f>
        <v>1.0</v>
      </c>
      <c r="I187" s="6">
        <v>0</v>
      </c>
      <c r="J187" s="5" t="s">
        <v>19</v>
      </c>
      <c r="K187" s="6">
        <v>57</v>
      </c>
      <c r="L187" s="6">
        <v>57</v>
      </c>
      <c r="M187" s="7">
        <f>IF(K187&gt;0,L187/K187,"n/a")</f>
        <v>1.0</v>
      </c>
      <c r="N187" s="8">
        <f>IF(AND(F187&gt;0,K187&gt;0),(H187-M187)*100,"n/a")</f>
        <v>0.0</v>
      </c>
      <c r="O187" s="5" t="s">
        <v>20</v>
      </c>
    </row>
    <row r="188" spans="1:15">
      <c r="A188" s="5" t="s">
        <v>283</v>
      </c>
      <c r="B188" s="5" t="s">
        <v>394</v>
      </c>
      <c r="C188" s="5" t="s">
        <v>394</v>
      </c>
      <c r="D188" s="5" t="s">
        <v>422</v>
      </c>
      <c r="E188" s="5" t="s">
        <v>423</v>
      </c>
      <c r="F188" s="6">
        <v>50</v>
      </c>
      <c r="G188" s="6">
        <v>46</v>
      </c>
      <c r="H188" s="7">
        <f>IF(F188&gt;0,G188/F188,"n/a")</f>
        <v>0.92</v>
      </c>
      <c r="I188" s="6">
        <v>0</v>
      </c>
      <c r="J188" s="5" t="s">
        <v>19</v>
      </c>
      <c r="K188" s="6">
        <v>34</v>
      </c>
      <c r="L188" s="6">
        <v>34</v>
      </c>
      <c r="M188" s="7">
        <f>IF(K188&gt;0,L188/K188,"n/a")</f>
        <v>1.0</v>
      </c>
      <c r="N188" s="8">
        <f>IF(AND(F188&gt;0,K188&gt;0),(H188-M188)*100,"n/a")</f>
        <v>-8.0</v>
      </c>
      <c r="O188" s="5" t="s">
        <v>20</v>
      </c>
    </row>
    <row r="189" spans="1:15">
      <c r="A189" s="5" t="s">
        <v>283</v>
      </c>
      <c r="B189" s="5" t="s">
        <v>394</v>
      </c>
      <c r="C189" s="5" t="s">
        <v>394</v>
      </c>
      <c r="D189" s="5" t="s">
        <v>424</v>
      </c>
      <c r="E189" s="5" t="s">
        <v>425</v>
      </c>
      <c r="F189" s="6">
        <v>124</v>
      </c>
      <c r="G189" s="6">
        <v>126</v>
      </c>
      <c r="H189" s="7">
        <f>IF(F189&gt;0,G189/F189,"n/a")</f>
        <v>1.016</v>
      </c>
      <c r="I189" s="6">
        <v>0</v>
      </c>
      <c r="J189" s="5" t="s">
        <v>19</v>
      </c>
      <c r="K189" s="6">
        <v>61</v>
      </c>
      <c r="L189" s="6">
        <v>61</v>
      </c>
      <c r="M189" s="7">
        <f>IF(K189&gt;0,L189/K189,"n/a")</f>
        <v>1.0</v>
      </c>
      <c r="N189" s="8">
        <f>IF(AND(F189&gt;0,K189&gt;0),(H189-M189)*100,"n/a")</f>
        <v>1.6</v>
      </c>
      <c r="O189" s="5" t="s">
        <v>20</v>
      </c>
    </row>
    <row r="190" spans="1:15">
      <c r="A190" s="5" t="s">
        <v>283</v>
      </c>
      <c r="B190" s="5" t="s">
        <v>394</v>
      </c>
      <c r="C190" s="5" t="s">
        <v>394</v>
      </c>
      <c r="D190" s="5" t="s">
        <v>426</v>
      </c>
      <c r="E190" s="5" t="s">
        <v>427</v>
      </c>
      <c r="F190" s="6">
        <v>18</v>
      </c>
      <c r="G190" s="6">
        <v>88</v>
      </c>
      <c r="H190" s="7">
        <f>IF(F190&gt;0,G190/F190,"n/a")</f>
        <v>4.888999999999999</v>
      </c>
      <c r="I190" s="6">
        <v>0</v>
      </c>
      <c r="J190" s="5" t="s">
        <v>26</v>
      </c>
      <c r="K190" s="6">
        <v>12</v>
      </c>
      <c r="L190" s="6">
        <v>7</v>
      </c>
      <c r="M190" s="7">
        <f>IF(K190&gt;0,L190/K190,"n/a")</f>
        <v>0.583</v>
      </c>
      <c r="N190" s="8">
        <f>IF(AND(F190&gt;0,K190&gt;0),(H190-M190)*100,"n/a")</f>
        <v>430.6</v>
      </c>
      <c r="O190" s="5" t="s">
        <v>23</v>
      </c>
    </row>
    <row r="191" spans="1:15">
      <c r="A191" s="5" t="s">
        <v>283</v>
      </c>
      <c r="B191" s="5" t="s">
        <v>394</v>
      </c>
      <c r="C191" s="5" t="s">
        <v>394</v>
      </c>
      <c r="D191" s="5" t="s">
        <v>428</v>
      </c>
      <c r="E191" s="5" t="s">
        <v>429</v>
      </c>
      <c r="F191" s="6">
        <v>63</v>
      </c>
      <c r="G191" s="6">
        <v>54</v>
      </c>
      <c r="H191" s="7">
        <f>IF(F191&gt;0,G191/F191,"n/a")</f>
        <v>0.857</v>
      </c>
      <c r="I191" s="6">
        <v>0</v>
      </c>
      <c r="J191" s="5" t="s">
        <v>19</v>
      </c>
      <c r="K191" s="6">
        <v>30</v>
      </c>
      <c r="L191" s="6">
        <v>30</v>
      </c>
      <c r="M191" s="7">
        <f>IF(K191&gt;0,L191/K191,"n/a")</f>
        <v>1.0</v>
      </c>
      <c r="N191" s="8">
        <f>IF(AND(F191&gt;0,K191&gt;0),(H191-M191)*100,"n/a")</f>
        <v>-14.3</v>
      </c>
      <c r="O191" s="5" t="s">
        <v>20</v>
      </c>
    </row>
    <row r="192" spans="1:15">
      <c r="A192" s="5" t="s">
        <v>283</v>
      </c>
      <c r="B192" s="5" t="s">
        <v>394</v>
      </c>
      <c r="C192" s="5" t="s">
        <v>394</v>
      </c>
      <c r="D192" s="5" t="s">
        <v>430</v>
      </c>
      <c r="E192" s="5" t="s">
        <v>431</v>
      </c>
      <c r="F192" s="6">
        <v>22</v>
      </c>
      <c r="G192" s="6">
        <v>22</v>
      </c>
      <c r="H192" s="7">
        <f>IF(F192&gt;0,G192/F192,"n/a")</f>
        <v>1.0</v>
      </c>
      <c r="I192" s="6">
        <v>0</v>
      </c>
      <c r="J192" s="5" t="s">
        <v>19</v>
      </c>
      <c r="K192" s="6">
        <v>32</v>
      </c>
      <c r="L192" s="6">
        <v>31</v>
      </c>
      <c r="M192" s="7">
        <f>IF(K192&gt;0,L192/K192,"n/a")</f>
        <v>0.9690000000000001</v>
      </c>
      <c r="N192" s="8">
        <f>IF(AND(F192&gt;0,K192&gt;0),(H192-M192)*100,"n/a")</f>
        <v>3.1</v>
      </c>
      <c r="O192" s="5" t="s">
        <v>20</v>
      </c>
    </row>
    <row r="193" spans="1:15">
      <c r="A193" s="5" t="s">
        <v>283</v>
      </c>
      <c r="B193" s="5" t="s">
        <v>394</v>
      </c>
      <c r="C193" s="5" t="s">
        <v>394</v>
      </c>
      <c r="D193" s="5" t="s">
        <v>432</v>
      </c>
      <c r="E193" s="5" t="s">
        <v>433</v>
      </c>
      <c r="F193" s="6">
        <v>48</v>
      </c>
      <c r="G193" s="6">
        <v>46</v>
      </c>
      <c r="H193" s="7">
        <f>IF(F193&gt;0,G193/F193,"n/a")</f>
        <v>0.958</v>
      </c>
      <c r="I193" s="6">
        <v>0</v>
      </c>
      <c r="J193" s="5" t="s">
        <v>19</v>
      </c>
      <c r="K193" s="6">
        <v>31</v>
      </c>
      <c r="L193" s="6">
        <v>31</v>
      </c>
      <c r="M193" s="7">
        <f>IF(K193&gt;0,L193/K193,"n/a")</f>
        <v>1.0</v>
      </c>
      <c r="N193" s="8">
        <f>IF(AND(F193&gt;0,K193&gt;0),(H193-M193)*100,"n/a")</f>
        <v>-4.2</v>
      </c>
      <c r="O193" s="5" t="s">
        <v>20</v>
      </c>
    </row>
    <row r="194" spans="1:15">
      <c r="A194" s="5" t="s">
        <v>283</v>
      </c>
      <c r="B194" s="5" t="s">
        <v>394</v>
      </c>
      <c r="C194" s="5" t="s">
        <v>394</v>
      </c>
      <c r="D194" s="5" t="s">
        <v>434</v>
      </c>
      <c r="E194" s="5" t="s">
        <v>435</v>
      </c>
      <c r="F194" s="6">
        <v>71</v>
      </c>
      <c r="G194" s="6">
        <v>69</v>
      </c>
      <c r="H194" s="7">
        <f>IF(F194&gt;0,G194/F194,"n/a")</f>
        <v>0.972</v>
      </c>
      <c r="I194" s="6">
        <v>0</v>
      </c>
      <c r="J194" s="5" t="s">
        <v>19</v>
      </c>
      <c r="K194" s="6">
        <v>24</v>
      </c>
      <c r="L194" s="6">
        <v>24</v>
      </c>
      <c r="M194" s="7">
        <f>IF(K194&gt;0,L194/K194,"n/a")</f>
        <v>1.0</v>
      </c>
      <c r="N194" s="8">
        <f>IF(AND(F194&gt;0,K194&gt;0),(H194-M194)*100,"n/a")</f>
        <v>-2.8</v>
      </c>
      <c r="O194" s="5" t="s">
        <v>20</v>
      </c>
    </row>
    <row r="195" spans="1:15">
      <c r="A195" s="5" t="s">
        <v>283</v>
      </c>
      <c r="B195" s="5" t="s">
        <v>394</v>
      </c>
      <c r="C195" s="5" t="s">
        <v>394</v>
      </c>
      <c r="D195" s="5" t="s">
        <v>436</v>
      </c>
      <c r="E195" s="5" t="s">
        <v>437</v>
      </c>
      <c r="F195" s="6">
        <v>42</v>
      </c>
      <c r="G195" s="6">
        <v>44</v>
      </c>
      <c r="H195" s="7">
        <f>IF(F195&gt;0,G195/F195,"n/a")</f>
        <v>1.048</v>
      </c>
      <c r="I195" s="6">
        <v>0</v>
      </c>
      <c r="J195" s="5" t="s">
        <v>19</v>
      </c>
      <c r="K195" s="6">
        <v>16</v>
      </c>
      <c r="L195" s="6">
        <v>16</v>
      </c>
      <c r="M195" s="7">
        <f>IF(K195&gt;0,L195/K195,"n/a")</f>
        <v>1.0</v>
      </c>
      <c r="N195" s="8">
        <f>IF(AND(F195&gt;0,K195&gt;0),(H195-M195)*100,"n/a")</f>
        <v>4.8</v>
      </c>
      <c r="O195" s="5" t="s">
        <v>20</v>
      </c>
    </row>
    <row r="196" spans="1:15">
      <c r="A196" s="5" t="s">
        <v>283</v>
      </c>
      <c r="B196" s="5" t="s">
        <v>394</v>
      </c>
      <c r="C196" s="5" t="s">
        <v>394</v>
      </c>
      <c r="D196" s="5" t="s">
        <v>438</v>
      </c>
      <c r="E196" s="5" t="s">
        <v>439</v>
      </c>
      <c r="F196" s="6">
        <v>18</v>
      </c>
      <c r="G196" s="6">
        <v>12</v>
      </c>
      <c r="H196" s="7">
        <f>IF(F196&gt;0,G196/F196,"n/a")</f>
        <v>0.667</v>
      </c>
      <c r="I196" s="6">
        <v>0</v>
      </c>
      <c r="J196" s="5" t="s">
        <v>45</v>
      </c>
      <c r="K196" s="6">
        <v>15</v>
      </c>
      <c r="L196" s="6">
        <v>15</v>
      </c>
      <c r="M196" s="7">
        <f>IF(K196&gt;0,L196/K196,"n/a")</f>
        <v>1.0</v>
      </c>
      <c r="N196" s="8">
        <f>IF(AND(F196&gt;0,K196&gt;0),(H196-M196)*100,"n/a")</f>
        <v>-33.3</v>
      </c>
      <c r="O196" s="5" t="s">
        <v>68</v>
      </c>
    </row>
    <row r="197" spans="1:15">
      <c r="A197" s="5" t="s">
        <v>283</v>
      </c>
      <c r="B197" s="5" t="s">
        <v>440</v>
      </c>
      <c r="C197" s="5" t="s">
        <v>441</v>
      </c>
      <c r="D197" s="5" t="s">
        <v>442</v>
      </c>
      <c r="E197" s="5" t="s">
        <v>443</v>
      </c>
      <c r="F197" s="6">
        <v>30</v>
      </c>
      <c r="G197" s="6">
        <v>24</v>
      </c>
      <c r="H197" s="7">
        <f>IF(F197&gt;0,G197/F197,"n/a")</f>
        <v>0.8</v>
      </c>
      <c r="I197" s="6">
        <v>0</v>
      </c>
      <c r="J197" s="5" t="s">
        <v>19</v>
      </c>
      <c r="K197" s="6">
        <v>11</v>
      </c>
      <c r="L197" s="6">
        <v>11</v>
      </c>
      <c r="M197" s="7">
        <f>IF(K197&gt;0,L197/K197,"n/a")</f>
        <v>1.0</v>
      </c>
      <c r="N197" s="8">
        <f>IF(AND(F197&gt;0,K197&gt;0),(H197-M197)*100,"n/a")</f>
        <v>-20.0</v>
      </c>
      <c r="O197" s="5" t="s">
        <v>20</v>
      </c>
    </row>
    <row r="198" spans="1:15">
      <c r="A198" s="5" t="s">
        <v>283</v>
      </c>
      <c r="B198" s="5" t="s">
        <v>440</v>
      </c>
      <c r="C198" s="5" t="s">
        <v>441</v>
      </c>
      <c r="D198" s="5" t="s">
        <v>444</v>
      </c>
      <c r="E198" s="5" t="s">
        <v>445</v>
      </c>
      <c r="F198" s="6">
        <v>2</v>
      </c>
      <c r="G198" s="6">
        <v>4</v>
      </c>
      <c r="H198" s="7">
        <f>IF(F198&gt;0,G198/F198,"n/a")</f>
        <v>2.0</v>
      </c>
      <c r="I198" s="6">
        <v>0</v>
      </c>
      <c r="J198" s="5" t="s">
        <v>26</v>
      </c>
      <c r="K198" s="6">
        <v>0</v>
      </c>
      <c r="L198" s="6">
        <v>0</v>
      </c>
      <c r="M198" s="7" t="str">
        <f>IF(K198&gt;0,L198/K198,"n/a")</f>
        <v>n/a</v>
      </c>
      <c r="N198" s="8" t="str">
        <f>IF(AND(F198&gt;0,K198&gt;0),(H198-M198)*100,"n/a")</f>
        <v>n/a</v>
      </c>
      <c r="O198" s="5" t="s">
        <v>100</v>
      </c>
    </row>
    <row r="199" spans="1:15">
      <c r="A199" s="5" t="s">
        <v>283</v>
      </c>
      <c r="B199" s="5" t="s">
        <v>440</v>
      </c>
      <c r="C199" s="5" t="s">
        <v>441</v>
      </c>
      <c r="D199" s="5" t="s">
        <v>446</v>
      </c>
      <c r="E199" s="5" t="s">
        <v>447</v>
      </c>
      <c r="F199" s="6">
        <v>3</v>
      </c>
      <c r="G199" s="6">
        <v>3</v>
      </c>
      <c r="H199" s="7">
        <f>IF(F199&gt;0,G199/F199,"n/a")</f>
        <v>1.0</v>
      </c>
      <c r="I199" s="6">
        <v>0</v>
      </c>
      <c r="J199" s="5" t="s">
        <v>19</v>
      </c>
      <c r="K199" s="6">
        <v>0</v>
      </c>
      <c r="L199" s="6">
        <v>0</v>
      </c>
      <c r="M199" s="7" t="str">
        <f>IF(K199&gt;0,L199/K199,"n/a")</f>
        <v>n/a</v>
      </c>
      <c r="N199" s="8" t="str">
        <f>IF(AND(F199&gt;0,K199&gt;0),(H199-M199)*100,"n/a")</f>
        <v>n/a</v>
      </c>
      <c r="O199" s="5" t="s">
        <v>100</v>
      </c>
    </row>
    <row r="200" spans="1:15">
      <c r="A200" s="5" t="s">
        <v>283</v>
      </c>
      <c r="B200" s="5" t="s">
        <v>440</v>
      </c>
      <c r="C200" s="5" t="s">
        <v>441</v>
      </c>
      <c r="D200" s="5" t="s">
        <v>448</v>
      </c>
      <c r="E200" s="5" t="s">
        <v>449</v>
      </c>
      <c r="F200" s="6">
        <v>4</v>
      </c>
      <c r="G200" s="6">
        <v>0</v>
      </c>
      <c r="H200" s="7">
        <f>IF(F200&gt;0,G200/F200,"n/a")</f>
        <v>0.0</v>
      </c>
      <c r="I200" s="6">
        <v>0</v>
      </c>
      <c r="J200" s="5" t="s">
        <v>67</v>
      </c>
      <c r="K200" s="6">
        <v>14</v>
      </c>
      <c r="L200" s="6">
        <v>8</v>
      </c>
      <c r="M200" s="7">
        <f>IF(K200&gt;0,L200/K200,"n/a")</f>
        <v>0.5710000000000001</v>
      </c>
      <c r="N200" s="8">
        <f>IF(AND(F200&gt;0,K200&gt;0),(H200-M200)*100,"n/a")</f>
        <v>-57.1</v>
      </c>
      <c r="O200" s="5" t="s">
        <v>46</v>
      </c>
    </row>
    <row r="201" spans="1:15">
      <c r="A201" s="5" t="s">
        <v>283</v>
      </c>
      <c r="B201" s="5" t="s">
        <v>440</v>
      </c>
      <c r="C201" s="5" t="s">
        <v>441</v>
      </c>
      <c r="D201" s="5" t="s">
        <v>450</v>
      </c>
      <c r="E201" s="5" t="s">
        <v>451</v>
      </c>
      <c r="F201" s="6">
        <v>2</v>
      </c>
      <c r="G201" s="6">
        <v>2</v>
      </c>
      <c r="H201" s="7">
        <f>IF(F201&gt;0,G201/F201,"n/a")</f>
        <v>1.0</v>
      </c>
      <c r="I201" s="6">
        <v>0</v>
      </c>
      <c r="J201" s="5" t="s">
        <v>19</v>
      </c>
      <c r="K201" s="6">
        <v>1</v>
      </c>
      <c r="L201" s="6">
        <v>1</v>
      </c>
      <c r="M201" s="7">
        <f>IF(K201&gt;0,L201/K201,"n/a")</f>
        <v>1.0</v>
      </c>
      <c r="N201" s="8">
        <f>IF(AND(F201&gt;0,K201&gt;0),(H201-M201)*100,"n/a")</f>
        <v>0.0</v>
      </c>
      <c r="O201" s="5" t="s">
        <v>20</v>
      </c>
    </row>
    <row r="202" spans="1:15">
      <c r="A202" s="5" t="s">
        <v>283</v>
      </c>
      <c r="B202" s="5" t="s">
        <v>440</v>
      </c>
      <c r="C202" s="5" t="s">
        <v>441</v>
      </c>
      <c r="D202" s="5" t="s">
        <v>452</v>
      </c>
      <c r="E202" s="5" t="s">
        <v>453</v>
      </c>
      <c r="F202" s="6">
        <v>10</v>
      </c>
      <c r="G202" s="6">
        <v>0</v>
      </c>
      <c r="H202" s="7">
        <f>IF(F202&gt;0,G202/F202,"n/a")</f>
        <v>0.0</v>
      </c>
      <c r="I202" s="6">
        <v>0</v>
      </c>
      <c r="J202" s="5" t="s">
        <v>67</v>
      </c>
      <c r="K202" s="6">
        <v>8</v>
      </c>
      <c r="L202" s="6">
        <v>8</v>
      </c>
      <c r="M202" s="7">
        <f>IF(K202&gt;0,L202/K202,"n/a")</f>
        <v>1.0</v>
      </c>
      <c r="N202" s="8">
        <f>IF(AND(F202&gt;0,K202&gt;0),(H202-M202)*100,"n/a")</f>
        <v>-100.0</v>
      </c>
      <c r="O202" s="5" t="s">
        <v>68</v>
      </c>
    </row>
    <row r="203" spans="1:15">
      <c r="A203" s="5" t="s">
        <v>283</v>
      </c>
      <c r="B203" s="5" t="s">
        <v>440</v>
      </c>
      <c r="C203" s="5" t="s">
        <v>441</v>
      </c>
      <c r="D203" s="5" t="s">
        <v>454</v>
      </c>
      <c r="E203" s="5" t="s">
        <v>455</v>
      </c>
      <c r="F203" s="6">
        <v>8</v>
      </c>
      <c r="G203" s="6">
        <v>7</v>
      </c>
      <c r="H203" s="7">
        <f>IF(F203&gt;0,G203/F203,"n/a")</f>
        <v>0.875</v>
      </c>
      <c r="I203" s="6">
        <v>0</v>
      </c>
      <c r="J203" s="5" t="s">
        <v>19</v>
      </c>
      <c r="K203" s="6">
        <v>5</v>
      </c>
      <c r="L203" s="6">
        <v>5</v>
      </c>
      <c r="M203" s="7">
        <f>IF(K203&gt;0,L203/K203,"n/a")</f>
        <v>1.0</v>
      </c>
      <c r="N203" s="8">
        <f>IF(AND(F203&gt;0,K203&gt;0),(H203-M203)*100,"n/a")</f>
        <v>-12.5</v>
      </c>
      <c r="O203" s="5" t="s">
        <v>20</v>
      </c>
    </row>
    <row r="204" spans="1:15">
      <c r="A204" s="5" t="s">
        <v>283</v>
      </c>
      <c r="B204" s="5" t="s">
        <v>440</v>
      </c>
      <c r="C204" s="5" t="s">
        <v>441</v>
      </c>
      <c r="D204" s="5" t="s">
        <v>456</v>
      </c>
      <c r="E204" s="5" t="s">
        <v>457</v>
      </c>
      <c r="F204" s="6">
        <v>18</v>
      </c>
      <c r="G204" s="6">
        <v>18</v>
      </c>
      <c r="H204" s="7">
        <f>IF(F204&gt;0,G204/F204,"n/a")</f>
        <v>1.0</v>
      </c>
      <c r="I204" s="6">
        <v>0</v>
      </c>
      <c r="J204" s="5" t="s">
        <v>19</v>
      </c>
      <c r="K204" s="6">
        <v>17</v>
      </c>
      <c r="L204" s="6">
        <v>19</v>
      </c>
      <c r="M204" s="7">
        <f>IF(K204&gt;0,L204/K204,"n/a")</f>
        <v>1.1179999999999999</v>
      </c>
      <c r="N204" s="8">
        <f>IF(AND(F204&gt;0,K204&gt;0),(H204-M204)*100,"n/a")</f>
        <v>-11.8</v>
      </c>
      <c r="O204" s="5" t="s">
        <v>20</v>
      </c>
    </row>
    <row r="205" spans="1:15">
      <c r="A205" s="5" t="s">
        <v>283</v>
      </c>
      <c r="B205" s="5" t="s">
        <v>440</v>
      </c>
      <c r="C205" s="5" t="s">
        <v>441</v>
      </c>
      <c r="D205" s="5" t="s">
        <v>458</v>
      </c>
      <c r="E205" s="5" t="s">
        <v>459</v>
      </c>
      <c r="F205" s="6">
        <v>7</v>
      </c>
      <c r="G205" s="6">
        <v>4</v>
      </c>
      <c r="H205" s="7">
        <f>IF(F205&gt;0,G205/F205,"n/a")</f>
        <v>0.5710000000000001</v>
      </c>
      <c r="I205" s="6">
        <v>0</v>
      </c>
      <c r="J205" s="5" t="s">
        <v>45</v>
      </c>
      <c r="K205" s="6">
        <v>8</v>
      </c>
      <c r="L205" s="6">
        <v>8</v>
      </c>
      <c r="M205" s="7">
        <f>IF(K205&gt;0,L205/K205,"n/a")</f>
        <v>1.0</v>
      </c>
      <c r="N205" s="8">
        <f>IF(AND(F205&gt;0,K205&gt;0),(H205-M205)*100,"n/a")</f>
        <v>-42.9</v>
      </c>
      <c r="O205" s="5" t="s">
        <v>68</v>
      </c>
    </row>
    <row r="206" spans="1:15">
      <c r="A206" s="5" t="s">
        <v>283</v>
      </c>
      <c r="B206" s="5" t="s">
        <v>440</v>
      </c>
      <c r="C206" s="5" t="s">
        <v>441</v>
      </c>
      <c r="D206" s="5" t="s">
        <v>460</v>
      </c>
      <c r="E206" s="5" t="s">
        <v>461</v>
      </c>
      <c r="F206" s="6">
        <v>14</v>
      </c>
      <c r="G206" s="6">
        <v>13</v>
      </c>
      <c r="H206" s="7">
        <f>IF(F206&gt;0,G206/F206,"n/a")</f>
        <v>0.929</v>
      </c>
      <c r="I206" s="6">
        <v>0</v>
      </c>
      <c r="J206" s="5" t="s">
        <v>19</v>
      </c>
      <c r="K206" s="6">
        <v>5</v>
      </c>
      <c r="L206" s="6">
        <v>5</v>
      </c>
      <c r="M206" s="7">
        <f>IF(K206&gt;0,L206/K206,"n/a")</f>
        <v>1.0</v>
      </c>
      <c r="N206" s="8">
        <f>IF(AND(F206&gt;0,K206&gt;0),(H206-M206)*100,"n/a")</f>
        <v>-7.1</v>
      </c>
      <c r="O206" s="5" t="s">
        <v>20</v>
      </c>
    </row>
    <row r="207" spans="1:15">
      <c r="A207" s="5" t="s">
        <v>283</v>
      </c>
      <c r="B207" s="5" t="s">
        <v>440</v>
      </c>
      <c r="C207" s="5" t="s">
        <v>441</v>
      </c>
      <c r="D207" s="5" t="s">
        <v>462</v>
      </c>
      <c r="E207" s="5" t="s">
        <v>463</v>
      </c>
      <c r="F207" s="6">
        <v>16</v>
      </c>
      <c r="G207" s="6">
        <v>20</v>
      </c>
      <c r="H207" s="7">
        <f>IF(F207&gt;0,G207/F207,"n/a")</f>
        <v>1.25</v>
      </c>
      <c r="I207" s="6">
        <v>0</v>
      </c>
      <c r="J207" s="5" t="s">
        <v>26</v>
      </c>
      <c r="K207" s="6">
        <v>12</v>
      </c>
      <c r="L207" s="6">
        <v>12</v>
      </c>
      <c r="M207" s="7">
        <f>IF(K207&gt;0,L207/K207,"n/a")</f>
        <v>1.0</v>
      </c>
      <c r="N207" s="8">
        <f>IF(AND(F207&gt;0,K207&gt;0),(H207-M207)*100,"n/a")</f>
        <v>25.0</v>
      </c>
      <c r="O207" s="5" t="s">
        <v>20</v>
      </c>
    </row>
    <row r="208" spans="1:15">
      <c r="A208" s="5" t="s">
        <v>283</v>
      </c>
      <c r="B208" s="5" t="s">
        <v>440</v>
      </c>
      <c r="C208" s="5" t="s">
        <v>441</v>
      </c>
      <c r="D208" s="5" t="s">
        <v>464</v>
      </c>
      <c r="E208" s="5" t="s">
        <v>465</v>
      </c>
      <c r="F208" s="6">
        <v>6</v>
      </c>
      <c r="G208" s="6">
        <v>0</v>
      </c>
      <c r="H208" s="7">
        <f>IF(F208&gt;0,G208/F208,"n/a")</f>
        <v>0.0</v>
      </c>
      <c r="I208" s="6">
        <v>0</v>
      </c>
      <c r="J208" s="5" t="s">
        <v>67</v>
      </c>
      <c r="K208" s="6">
        <v>6</v>
      </c>
      <c r="L208" s="6">
        <v>6</v>
      </c>
      <c r="M208" s="7">
        <f>IF(K208&gt;0,L208/K208,"n/a")</f>
        <v>1.0</v>
      </c>
      <c r="N208" s="8">
        <f>IF(AND(F208&gt;0,K208&gt;0),(H208-M208)*100,"n/a")</f>
        <v>-100.0</v>
      </c>
      <c r="O208" s="5" t="s">
        <v>68</v>
      </c>
    </row>
    <row r="209" spans="1:15">
      <c r="A209" s="5" t="s">
        <v>283</v>
      </c>
      <c r="B209" s="5" t="s">
        <v>440</v>
      </c>
      <c r="C209" s="5" t="s">
        <v>441</v>
      </c>
      <c r="D209" s="5" t="s">
        <v>466</v>
      </c>
      <c r="E209" s="5" t="s">
        <v>467</v>
      </c>
      <c r="F209" s="6">
        <v>8</v>
      </c>
      <c r="G209" s="6">
        <v>9</v>
      </c>
      <c r="H209" s="7">
        <f>IF(F209&gt;0,G209/F209,"n/a")</f>
        <v>1.125</v>
      </c>
      <c r="I209" s="6">
        <v>0</v>
      </c>
      <c r="J209" s="5" t="s">
        <v>26</v>
      </c>
      <c r="K209" s="6">
        <v>0</v>
      </c>
      <c r="L209" s="6">
        <v>0</v>
      </c>
      <c r="M209" s="7" t="str">
        <f>IF(K209&gt;0,L209/K209,"n/a")</f>
        <v>n/a</v>
      </c>
      <c r="N209" s="8" t="str">
        <f>IF(AND(F209&gt;0,K209&gt;0),(H209-M209)*100,"n/a")</f>
        <v>n/a</v>
      </c>
      <c r="O209" s="5" t="s">
        <v>100</v>
      </c>
    </row>
    <row r="210" spans="1:15">
      <c r="A210" s="5" t="s">
        <v>283</v>
      </c>
      <c r="B210" s="5" t="s">
        <v>440</v>
      </c>
      <c r="C210" s="5" t="s">
        <v>468</v>
      </c>
      <c r="D210" s="5" t="s">
        <v>469</v>
      </c>
      <c r="E210" s="5" t="s">
        <v>470</v>
      </c>
      <c r="F210" s="6">
        <v>5</v>
      </c>
      <c r="G210" s="6">
        <v>8</v>
      </c>
      <c r="H210" s="7">
        <f>IF(F210&gt;0,G210/F210,"n/a")</f>
        <v>1.6</v>
      </c>
      <c r="I210" s="6">
        <v>0</v>
      </c>
      <c r="J210" s="5" t="s">
        <v>26</v>
      </c>
      <c r="K210" s="6">
        <v>11</v>
      </c>
      <c r="L210" s="6">
        <v>11</v>
      </c>
      <c r="M210" s="7">
        <f>IF(K210&gt;0,L210/K210,"n/a")</f>
        <v>1.0</v>
      </c>
      <c r="N210" s="8">
        <f>IF(AND(F210&gt;0,K210&gt;0),(H210-M210)*100,"n/a")</f>
        <v>60.0</v>
      </c>
      <c r="O210" s="5" t="s">
        <v>20</v>
      </c>
    </row>
    <row r="211" spans="1:15">
      <c r="A211" s="5" t="s">
        <v>283</v>
      </c>
      <c r="B211" s="5" t="s">
        <v>440</v>
      </c>
      <c r="C211" s="5" t="s">
        <v>468</v>
      </c>
      <c r="D211" s="5" t="s">
        <v>471</v>
      </c>
      <c r="E211" s="5" t="s">
        <v>472</v>
      </c>
      <c r="F211" s="6">
        <v>8</v>
      </c>
      <c r="G211" s="6">
        <v>7</v>
      </c>
      <c r="H211" s="7">
        <f>IF(F211&gt;0,G211/F211,"n/a")</f>
        <v>0.875</v>
      </c>
      <c r="I211" s="6">
        <v>0</v>
      </c>
      <c r="J211" s="5" t="s">
        <v>19</v>
      </c>
      <c r="K211" s="6">
        <v>7</v>
      </c>
      <c r="L211" s="6">
        <v>7</v>
      </c>
      <c r="M211" s="7">
        <f>IF(K211&gt;0,L211/K211,"n/a")</f>
        <v>1.0</v>
      </c>
      <c r="N211" s="8">
        <f>IF(AND(F211&gt;0,K211&gt;0),(H211-M211)*100,"n/a")</f>
        <v>-12.5</v>
      </c>
      <c r="O211" s="5" t="s">
        <v>20</v>
      </c>
    </row>
    <row r="212" spans="1:15">
      <c r="A212" s="5" t="s">
        <v>283</v>
      </c>
      <c r="B212" s="5" t="s">
        <v>440</v>
      </c>
      <c r="C212" s="5" t="s">
        <v>468</v>
      </c>
      <c r="D212" s="5" t="s">
        <v>473</v>
      </c>
      <c r="E212" s="5" t="s">
        <v>474</v>
      </c>
      <c r="F212" s="6">
        <v>4</v>
      </c>
      <c r="G212" s="6">
        <v>5</v>
      </c>
      <c r="H212" s="7">
        <f>IF(F212&gt;0,G212/F212,"n/a")</f>
        <v>1.25</v>
      </c>
      <c r="I212" s="6">
        <v>0</v>
      </c>
      <c r="J212" s="5" t="s">
        <v>26</v>
      </c>
      <c r="K212" s="6">
        <v>8</v>
      </c>
      <c r="L212" s="6">
        <v>9</v>
      </c>
      <c r="M212" s="7">
        <f>IF(K212&gt;0,L212/K212,"n/a")</f>
        <v>1.125</v>
      </c>
      <c r="N212" s="8">
        <f>IF(AND(F212&gt;0,K212&gt;0),(H212-M212)*100,"n/a")</f>
        <v>12.5</v>
      </c>
      <c r="O212" s="5" t="s">
        <v>20</v>
      </c>
    </row>
    <row r="213" spans="1:15">
      <c r="A213" s="5" t="s">
        <v>283</v>
      </c>
      <c r="B213" s="5" t="s">
        <v>440</v>
      </c>
      <c r="C213" s="5" t="s">
        <v>468</v>
      </c>
      <c r="D213" s="5" t="s">
        <v>475</v>
      </c>
      <c r="E213" s="5" t="s">
        <v>476</v>
      </c>
      <c r="F213" s="6">
        <v>24</v>
      </c>
      <c r="G213" s="6">
        <v>23</v>
      </c>
      <c r="H213" s="7">
        <f>IF(F213&gt;0,G213/F213,"n/a")</f>
        <v>0.958</v>
      </c>
      <c r="I213" s="6">
        <v>0</v>
      </c>
      <c r="J213" s="5" t="s">
        <v>19</v>
      </c>
      <c r="K213" s="6">
        <v>11</v>
      </c>
      <c r="L213" s="6">
        <v>11</v>
      </c>
      <c r="M213" s="7">
        <f>IF(K213&gt;0,L213/K213,"n/a")</f>
        <v>1.0</v>
      </c>
      <c r="N213" s="8">
        <f>IF(AND(F213&gt;0,K213&gt;0),(H213-M213)*100,"n/a")</f>
        <v>-4.2</v>
      </c>
      <c r="O213" s="5" t="s">
        <v>20</v>
      </c>
    </row>
    <row r="214" spans="1:15">
      <c r="A214" s="5" t="s">
        <v>283</v>
      </c>
      <c r="B214" s="5" t="s">
        <v>440</v>
      </c>
      <c r="C214" s="5" t="s">
        <v>468</v>
      </c>
      <c r="D214" s="5" t="s">
        <v>477</v>
      </c>
      <c r="E214" s="5" t="s">
        <v>478</v>
      </c>
      <c r="F214" s="6">
        <v>15</v>
      </c>
      <c r="G214" s="6">
        <v>16</v>
      </c>
      <c r="H214" s="7">
        <f>IF(F214&gt;0,G214/F214,"n/a")</f>
        <v>1.067</v>
      </c>
      <c r="I214" s="6">
        <v>0</v>
      </c>
      <c r="J214" s="5" t="s">
        <v>19</v>
      </c>
      <c r="K214" s="6">
        <v>9</v>
      </c>
      <c r="L214" s="6">
        <v>9</v>
      </c>
      <c r="M214" s="7">
        <f>IF(K214&gt;0,L214/K214,"n/a")</f>
        <v>1.0</v>
      </c>
      <c r="N214" s="8">
        <f>IF(AND(F214&gt;0,K214&gt;0),(H214-M214)*100,"n/a")</f>
        <v>6.7</v>
      </c>
      <c r="O214" s="5" t="s">
        <v>20</v>
      </c>
    </row>
    <row r="215" spans="1:15">
      <c r="A215" s="5" t="s">
        <v>283</v>
      </c>
      <c r="B215" s="5" t="s">
        <v>440</v>
      </c>
      <c r="C215" s="5" t="s">
        <v>479</v>
      </c>
      <c r="D215" s="5" t="s">
        <v>480</v>
      </c>
      <c r="E215" s="5" t="s">
        <v>481</v>
      </c>
      <c r="F215" s="6">
        <v>21</v>
      </c>
      <c r="G215" s="6">
        <v>28</v>
      </c>
      <c r="H215" s="7">
        <f>IF(F215&gt;0,G215/F215,"n/a")</f>
        <v>1.3330000000000002</v>
      </c>
      <c r="I215" s="6">
        <v>0</v>
      </c>
      <c r="J215" s="5" t="s">
        <v>26</v>
      </c>
      <c r="K215" s="6">
        <v>20</v>
      </c>
      <c r="L215" s="6">
        <v>20</v>
      </c>
      <c r="M215" s="7">
        <f>IF(K215&gt;0,L215/K215,"n/a")</f>
        <v>1.0</v>
      </c>
      <c r="N215" s="8">
        <f>IF(AND(F215&gt;0,K215&gt;0),(H215-M215)*100,"n/a")</f>
        <v>33.3</v>
      </c>
      <c r="O215" s="5" t="s">
        <v>20</v>
      </c>
    </row>
    <row r="216" spans="1:15">
      <c r="A216" s="5" t="s">
        <v>283</v>
      </c>
      <c r="B216" s="5" t="s">
        <v>440</v>
      </c>
      <c r="C216" s="5" t="s">
        <v>479</v>
      </c>
      <c r="D216" s="5" t="s">
        <v>482</v>
      </c>
      <c r="E216" s="5" t="s">
        <v>483</v>
      </c>
      <c r="F216" s="6">
        <v>47</v>
      </c>
      <c r="G216" s="6">
        <v>46</v>
      </c>
      <c r="H216" s="7">
        <f>IF(F216&gt;0,G216/F216,"n/a")</f>
        <v>0.9790000000000001</v>
      </c>
      <c r="I216" s="6">
        <v>0</v>
      </c>
      <c r="J216" s="5" t="s">
        <v>19</v>
      </c>
      <c r="K216" s="6">
        <v>18</v>
      </c>
      <c r="L216" s="6">
        <v>18</v>
      </c>
      <c r="M216" s="7">
        <f>IF(K216&gt;0,L216/K216,"n/a")</f>
        <v>1.0</v>
      </c>
      <c r="N216" s="8">
        <f>IF(AND(F216&gt;0,K216&gt;0),(H216-M216)*100,"n/a")</f>
        <v>-2.1</v>
      </c>
      <c r="O216" s="5" t="s">
        <v>20</v>
      </c>
    </row>
    <row r="217" spans="1:15">
      <c r="A217" s="5" t="s">
        <v>283</v>
      </c>
      <c r="B217" s="5" t="s">
        <v>440</v>
      </c>
      <c r="C217" s="5" t="s">
        <v>479</v>
      </c>
      <c r="D217" s="5" t="s">
        <v>484</v>
      </c>
      <c r="E217" s="5" t="s">
        <v>485</v>
      </c>
      <c r="F217" s="6">
        <v>32</v>
      </c>
      <c r="G217" s="6">
        <v>0</v>
      </c>
      <c r="H217" s="7">
        <f>IF(F217&gt;0,G217/F217,"n/a")</f>
        <v>0.0</v>
      </c>
      <c r="I217" s="6">
        <v>0</v>
      </c>
      <c r="J217" s="5" t="s">
        <v>67</v>
      </c>
      <c r="K217" s="6">
        <v>1</v>
      </c>
      <c r="L217" s="6">
        <v>7</v>
      </c>
      <c r="M217" s="7">
        <f>IF(K217&gt;0,L217/K217,"n/a")</f>
        <v>7.0</v>
      </c>
      <c r="N217" s="8">
        <f>IF(AND(F217&gt;0,K217&gt;0),(H217-M217)*100,"n/a")</f>
        <v>-700.0</v>
      </c>
      <c r="O217" s="5" t="s">
        <v>68</v>
      </c>
    </row>
    <row r="218" spans="1:15">
      <c r="A218" s="5" t="s">
        <v>283</v>
      </c>
      <c r="B218" s="5" t="s">
        <v>440</v>
      </c>
      <c r="C218" s="5" t="s">
        <v>486</v>
      </c>
      <c r="D218" s="5" t="s">
        <v>487</v>
      </c>
      <c r="E218" s="5" t="s">
        <v>488</v>
      </c>
      <c r="F218" s="6">
        <v>7</v>
      </c>
      <c r="G218" s="6">
        <v>6</v>
      </c>
      <c r="H218" s="7">
        <f>IF(F218&gt;0,G218/F218,"n/a")</f>
        <v>0.857</v>
      </c>
      <c r="I218" s="6">
        <v>0</v>
      </c>
      <c r="J218" s="5" t="s">
        <v>19</v>
      </c>
      <c r="K218" s="6">
        <v>2</v>
      </c>
      <c r="L218" s="6">
        <v>14</v>
      </c>
      <c r="M218" s="7">
        <f>IF(K218&gt;0,L218/K218,"n/a")</f>
        <v>7.0</v>
      </c>
      <c r="N218" s="8">
        <f>IF(AND(F218&gt;0,K218&gt;0),(H218-M218)*100,"n/a")</f>
        <v>-614.3</v>
      </c>
      <c r="O218" s="5" t="s">
        <v>20</v>
      </c>
    </row>
    <row r="219" spans="1:15">
      <c r="A219" s="5" t="s">
        <v>283</v>
      </c>
      <c r="B219" s="5" t="s">
        <v>440</v>
      </c>
      <c r="C219" s="5" t="s">
        <v>486</v>
      </c>
      <c r="D219" s="5" t="s">
        <v>489</v>
      </c>
      <c r="E219" s="5" t="s">
        <v>490</v>
      </c>
      <c r="F219" s="6">
        <v>19</v>
      </c>
      <c r="G219" s="6">
        <v>0</v>
      </c>
      <c r="H219" s="7">
        <f>IF(F219&gt;0,G219/F219,"n/a")</f>
        <v>0.0</v>
      </c>
      <c r="I219" s="6">
        <v>0</v>
      </c>
      <c r="J219" s="5" t="s">
        <v>67</v>
      </c>
      <c r="K219" s="6">
        <v>16</v>
      </c>
      <c r="L219" s="6">
        <v>16</v>
      </c>
      <c r="M219" s="7">
        <f>IF(K219&gt;0,L219/K219,"n/a")</f>
        <v>1.0</v>
      </c>
      <c r="N219" s="8">
        <f>IF(AND(F219&gt;0,K219&gt;0),(H219-M219)*100,"n/a")</f>
        <v>-100.0</v>
      </c>
      <c r="O219" s="5" t="s">
        <v>68</v>
      </c>
    </row>
    <row r="220" spans="1:15">
      <c r="A220" s="5" t="s">
        <v>283</v>
      </c>
      <c r="B220" s="5" t="s">
        <v>440</v>
      </c>
      <c r="C220" s="5" t="s">
        <v>486</v>
      </c>
      <c r="D220" s="5" t="s">
        <v>491</v>
      </c>
      <c r="E220" s="5" t="s">
        <v>492</v>
      </c>
      <c r="F220" s="6">
        <v>11</v>
      </c>
      <c r="G220" s="6">
        <v>23</v>
      </c>
      <c r="H220" s="7">
        <f>IF(F220&gt;0,G220/F220,"n/a")</f>
        <v>2.0909999999999997</v>
      </c>
      <c r="I220" s="6">
        <v>0</v>
      </c>
      <c r="J220" s="5" t="s">
        <v>26</v>
      </c>
      <c r="K220" s="6">
        <v>8</v>
      </c>
      <c r="L220" s="6">
        <v>8</v>
      </c>
      <c r="M220" s="7">
        <f>IF(K220&gt;0,L220/K220,"n/a")</f>
        <v>1.0</v>
      </c>
      <c r="N220" s="8">
        <f>IF(AND(F220&gt;0,K220&gt;0),(H220-M220)*100,"n/a")</f>
        <v>109.1</v>
      </c>
      <c r="O220" s="5" t="s">
        <v>20</v>
      </c>
    </row>
    <row r="221" spans="1:15">
      <c r="A221" s="5" t="s">
        <v>283</v>
      </c>
      <c r="B221" s="5" t="s">
        <v>440</v>
      </c>
      <c r="C221" s="5" t="s">
        <v>486</v>
      </c>
      <c r="D221" s="5" t="s">
        <v>493</v>
      </c>
      <c r="E221" s="5" t="s">
        <v>494</v>
      </c>
      <c r="F221" s="6">
        <v>19</v>
      </c>
      <c r="G221" s="6">
        <v>21</v>
      </c>
      <c r="H221" s="7">
        <f>IF(F221&gt;0,G221/F221,"n/a")</f>
        <v>1.105</v>
      </c>
      <c r="I221" s="6">
        <v>0</v>
      </c>
      <c r="J221" s="5" t="s">
        <v>26</v>
      </c>
      <c r="K221" s="6">
        <v>10</v>
      </c>
      <c r="L221" s="6">
        <v>10</v>
      </c>
      <c r="M221" s="7">
        <f>IF(K221&gt;0,L221/K221,"n/a")</f>
        <v>1.0</v>
      </c>
      <c r="N221" s="8">
        <f>IF(AND(F221&gt;0,K221&gt;0),(H221-M221)*100,"n/a")</f>
        <v>10.5</v>
      </c>
      <c r="O221" s="5" t="s">
        <v>20</v>
      </c>
    </row>
    <row r="222" spans="1:15">
      <c r="A222" s="5" t="s">
        <v>283</v>
      </c>
      <c r="B222" s="5" t="s">
        <v>440</v>
      </c>
      <c r="C222" s="5" t="s">
        <v>486</v>
      </c>
      <c r="D222" s="5" t="s">
        <v>495</v>
      </c>
      <c r="E222" s="5" t="s">
        <v>496</v>
      </c>
      <c r="F222" s="6">
        <v>3</v>
      </c>
      <c r="G222" s="6">
        <v>3</v>
      </c>
      <c r="H222" s="7">
        <f>IF(F222&gt;0,G222/F222,"n/a")</f>
        <v>1.0</v>
      </c>
      <c r="I222" s="6">
        <v>0</v>
      </c>
      <c r="J222" s="5" t="s">
        <v>19</v>
      </c>
      <c r="K222" s="6">
        <v>2</v>
      </c>
      <c r="L222" s="6">
        <v>0</v>
      </c>
      <c r="M222" s="7">
        <f>IF(K222&gt;0,L222/K222,"n/a")</f>
        <v>0.0</v>
      </c>
      <c r="N222" s="8">
        <f>IF(AND(F222&gt;0,K222&gt;0),(H222-M222)*100,"n/a")</f>
        <v>100.0</v>
      </c>
      <c r="O222" s="5" t="s">
        <v>23</v>
      </c>
    </row>
    <row r="223" spans="1:15">
      <c r="A223" s="5" t="s">
        <v>283</v>
      </c>
      <c r="B223" s="5" t="s">
        <v>440</v>
      </c>
      <c r="C223" s="5" t="s">
        <v>486</v>
      </c>
      <c r="D223" s="5" t="s">
        <v>497</v>
      </c>
      <c r="E223" s="5" t="s">
        <v>498</v>
      </c>
      <c r="F223" s="6">
        <v>35</v>
      </c>
      <c r="G223" s="6">
        <v>36</v>
      </c>
      <c r="H223" s="7">
        <f>IF(F223&gt;0,G223/F223,"n/a")</f>
        <v>1.0290000000000001</v>
      </c>
      <c r="I223" s="6">
        <v>0</v>
      </c>
      <c r="J223" s="5" t="s">
        <v>19</v>
      </c>
      <c r="K223" s="6">
        <v>0</v>
      </c>
      <c r="L223" s="6">
        <v>0</v>
      </c>
      <c r="M223" s="7" t="str">
        <f>IF(K223&gt;0,L223/K223,"n/a")</f>
        <v>n/a</v>
      </c>
      <c r="N223" s="8" t="str">
        <f>IF(AND(F223&gt;0,K223&gt;0),(H223-M223)*100,"n/a")</f>
        <v>n/a</v>
      </c>
      <c r="O223" s="5" t="s">
        <v>100</v>
      </c>
    </row>
    <row r="224" spans="1:15">
      <c r="A224" s="5" t="s">
        <v>283</v>
      </c>
      <c r="B224" s="5" t="s">
        <v>440</v>
      </c>
      <c r="C224" s="5" t="s">
        <v>486</v>
      </c>
      <c r="D224" s="5" t="s">
        <v>499</v>
      </c>
      <c r="E224" s="5" t="s">
        <v>500</v>
      </c>
      <c r="F224" s="6">
        <v>9</v>
      </c>
      <c r="G224" s="6">
        <v>9</v>
      </c>
      <c r="H224" s="7">
        <f>IF(F224&gt;0,G224/F224,"n/a")</f>
        <v>1.0</v>
      </c>
      <c r="I224" s="6">
        <v>0</v>
      </c>
      <c r="J224" s="5" t="s">
        <v>19</v>
      </c>
      <c r="K224" s="6">
        <v>9</v>
      </c>
      <c r="L224" s="6">
        <v>9</v>
      </c>
      <c r="M224" s="7">
        <f>IF(K224&gt;0,L224/K224,"n/a")</f>
        <v>1.0</v>
      </c>
      <c r="N224" s="8">
        <f>IF(AND(F224&gt;0,K224&gt;0),(H224-M224)*100,"n/a")</f>
        <v>0.0</v>
      </c>
      <c r="O224" s="5" t="s">
        <v>20</v>
      </c>
    </row>
    <row r="225" spans="1:15">
      <c r="A225" s="5" t="s">
        <v>283</v>
      </c>
      <c r="B225" s="5" t="s">
        <v>440</v>
      </c>
      <c r="C225" s="5" t="s">
        <v>486</v>
      </c>
      <c r="D225" s="5" t="s">
        <v>501</v>
      </c>
      <c r="E225" s="5" t="s">
        <v>502</v>
      </c>
      <c r="F225" s="6">
        <v>13</v>
      </c>
      <c r="G225" s="6">
        <v>22</v>
      </c>
      <c r="H225" s="7">
        <f>IF(F225&gt;0,G225/F225,"n/a")</f>
        <v>1.692</v>
      </c>
      <c r="I225" s="6">
        <v>0</v>
      </c>
      <c r="J225" s="5" t="s">
        <v>26</v>
      </c>
      <c r="K225" s="6">
        <v>9</v>
      </c>
      <c r="L225" s="6">
        <v>9</v>
      </c>
      <c r="M225" s="7">
        <f>IF(K225&gt;0,L225/K225,"n/a")</f>
        <v>1.0</v>
      </c>
      <c r="N225" s="8">
        <f>IF(AND(F225&gt;0,K225&gt;0),(H225-M225)*100,"n/a")</f>
        <v>69.2</v>
      </c>
      <c r="O225" s="5" t="s">
        <v>20</v>
      </c>
    </row>
    <row r="226" spans="1:15">
      <c r="A226" s="5" t="s">
        <v>283</v>
      </c>
      <c r="B226" s="5" t="s">
        <v>440</v>
      </c>
      <c r="C226" s="5" t="s">
        <v>486</v>
      </c>
      <c r="D226" s="5" t="s">
        <v>503</v>
      </c>
      <c r="E226" s="5" t="s">
        <v>504</v>
      </c>
      <c r="F226" s="6">
        <v>3</v>
      </c>
      <c r="G226" s="6">
        <v>2</v>
      </c>
      <c r="H226" s="7">
        <f>IF(F226&gt;0,G226/F226,"n/a")</f>
        <v>0.667</v>
      </c>
      <c r="I226" s="6">
        <v>0</v>
      </c>
      <c r="J226" s="5" t="s">
        <v>45</v>
      </c>
      <c r="K226" s="6">
        <v>2</v>
      </c>
      <c r="L226" s="6">
        <v>2</v>
      </c>
      <c r="M226" s="7">
        <f>IF(K226&gt;0,L226/K226,"n/a")</f>
        <v>1.0</v>
      </c>
      <c r="N226" s="8">
        <f>IF(AND(F226&gt;0,K226&gt;0),(H226-M226)*100,"n/a")</f>
        <v>-33.3</v>
      </c>
      <c r="O226" s="5" t="s">
        <v>68</v>
      </c>
    </row>
    <row r="227" spans="1:15">
      <c r="A227" s="5" t="s">
        <v>283</v>
      </c>
      <c r="B227" s="5" t="s">
        <v>440</v>
      </c>
      <c r="C227" s="5" t="s">
        <v>486</v>
      </c>
      <c r="D227" s="5" t="s">
        <v>505</v>
      </c>
      <c r="E227" s="5" t="s">
        <v>506</v>
      </c>
      <c r="F227" s="6">
        <v>24</v>
      </c>
      <c r="G227" s="6">
        <v>14</v>
      </c>
      <c r="H227" s="7">
        <f>IF(F227&gt;0,G227/F227,"n/a")</f>
        <v>0.583</v>
      </c>
      <c r="I227" s="6">
        <v>0</v>
      </c>
      <c r="J227" s="5" t="s">
        <v>45</v>
      </c>
      <c r="K227" s="6">
        <v>18</v>
      </c>
      <c r="L227" s="6">
        <v>0</v>
      </c>
      <c r="M227" s="7">
        <f>IF(K227&gt;0,L227/K227,"n/a")</f>
        <v>0.0</v>
      </c>
      <c r="N227" s="8">
        <f>IF(AND(F227&gt;0,K227&gt;0),(H227-M227)*100,"n/a")</f>
        <v>58.3</v>
      </c>
      <c r="O227" s="5" t="s">
        <v>46</v>
      </c>
    </row>
    <row r="228" spans="1:15">
      <c r="A228" s="5" t="s">
        <v>283</v>
      </c>
      <c r="B228" s="5" t="s">
        <v>440</v>
      </c>
      <c r="C228" s="5" t="s">
        <v>486</v>
      </c>
      <c r="D228" s="5" t="s">
        <v>507</v>
      </c>
      <c r="E228" s="5" t="s">
        <v>508</v>
      </c>
      <c r="F228" s="6">
        <v>23</v>
      </c>
      <c r="G228" s="6">
        <v>28</v>
      </c>
      <c r="H228" s="7">
        <f>IF(F228&gt;0,G228/F228,"n/a")</f>
        <v>1.217</v>
      </c>
      <c r="I228" s="6">
        <v>0</v>
      </c>
      <c r="J228" s="5" t="s">
        <v>26</v>
      </c>
      <c r="K228" s="6">
        <v>5</v>
      </c>
      <c r="L228" s="6">
        <v>5</v>
      </c>
      <c r="M228" s="7">
        <f>IF(K228&gt;0,L228/K228,"n/a")</f>
        <v>1.0</v>
      </c>
      <c r="N228" s="8">
        <f>IF(AND(F228&gt;0,K228&gt;0),(H228-M228)*100,"n/a")</f>
        <v>21.7</v>
      </c>
      <c r="O228" s="5" t="s">
        <v>20</v>
      </c>
    </row>
    <row r="229" spans="1:15">
      <c r="A229" s="5" t="s">
        <v>283</v>
      </c>
      <c r="B229" s="5" t="s">
        <v>440</v>
      </c>
      <c r="C229" s="5" t="s">
        <v>486</v>
      </c>
      <c r="D229" s="5" t="s">
        <v>509</v>
      </c>
      <c r="E229" s="5" t="s">
        <v>510</v>
      </c>
      <c r="F229" s="6">
        <v>62</v>
      </c>
      <c r="G229" s="6">
        <v>63</v>
      </c>
      <c r="H229" s="7">
        <f>IF(F229&gt;0,G229/F229,"n/a")</f>
        <v>1.016</v>
      </c>
      <c r="I229" s="6">
        <v>0</v>
      </c>
      <c r="J229" s="5" t="s">
        <v>19</v>
      </c>
      <c r="K229" s="6">
        <v>43</v>
      </c>
      <c r="L229" s="6">
        <v>43</v>
      </c>
      <c r="M229" s="7">
        <f>IF(K229&gt;0,L229/K229,"n/a")</f>
        <v>1.0</v>
      </c>
      <c r="N229" s="8">
        <f>IF(AND(F229&gt;0,K229&gt;0),(H229-M229)*100,"n/a")</f>
        <v>1.6</v>
      </c>
      <c r="O229" s="5" t="s">
        <v>20</v>
      </c>
    </row>
    <row r="230" spans="1:15">
      <c r="A230" s="5" t="s">
        <v>283</v>
      </c>
      <c r="B230" s="5" t="s">
        <v>440</v>
      </c>
      <c r="C230" s="5" t="s">
        <v>486</v>
      </c>
      <c r="D230" s="5" t="s">
        <v>511</v>
      </c>
      <c r="E230" s="5" t="s">
        <v>512</v>
      </c>
      <c r="F230" s="6">
        <v>29</v>
      </c>
      <c r="G230" s="6">
        <v>49</v>
      </c>
      <c r="H230" s="7">
        <f>IF(F230&gt;0,G230/F230,"n/a")</f>
        <v>1.69</v>
      </c>
      <c r="I230" s="6">
        <v>0</v>
      </c>
      <c r="J230" s="5" t="s">
        <v>26</v>
      </c>
      <c r="K230" s="6">
        <v>33</v>
      </c>
      <c r="L230" s="6">
        <v>36</v>
      </c>
      <c r="M230" s="7">
        <f>IF(K230&gt;0,L230/K230,"n/a")</f>
        <v>1.091</v>
      </c>
      <c r="N230" s="8">
        <f>IF(AND(F230&gt;0,K230&gt;0),(H230-M230)*100,"n/a")</f>
        <v>59.9</v>
      </c>
      <c r="O230" s="5" t="s">
        <v>20</v>
      </c>
    </row>
    <row r="231" spans="1:15">
      <c r="A231" s="5" t="s">
        <v>283</v>
      </c>
      <c r="B231" s="5" t="s">
        <v>440</v>
      </c>
      <c r="C231" s="5" t="s">
        <v>486</v>
      </c>
      <c r="D231" s="5" t="s">
        <v>513</v>
      </c>
      <c r="E231" s="5" t="s">
        <v>514</v>
      </c>
      <c r="F231" s="6">
        <v>4</v>
      </c>
      <c r="G231" s="6">
        <v>4</v>
      </c>
      <c r="H231" s="7">
        <f>IF(F231&gt;0,G231/F231,"n/a")</f>
        <v>1.0</v>
      </c>
      <c r="I231" s="6">
        <v>0</v>
      </c>
      <c r="J231" s="5" t="s">
        <v>19</v>
      </c>
      <c r="K231" s="6">
        <v>1</v>
      </c>
      <c r="L231" s="6">
        <v>1</v>
      </c>
      <c r="M231" s="7">
        <f>IF(K231&gt;0,L231/K231,"n/a")</f>
        <v>1.0</v>
      </c>
      <c r="N231" s="8">
        <f>IF(AND(F231&gt;0,K231&gt;0),(H231-M231)*100,"n/a")</f>
        <v>0.0</v>
      </c>
      <c r="O231" s="5" t="s">
        <v>20</v>
      </c>
    </row>
    <row r="232" spans="1:15">
      <c r="A232" s="5" t="s">
        <v>283</v>
      </c>
      <c r="B232" s="5" t="s">
        <v>440</v>
      </c>
      <c r="C232" s="5" t="s">
        <v>486</v>
      </c>
      <c r="D232" s="5" t="s">
        <v>515</v>
      </c>
      <c r="E232" s="5" t="s">
        <v>516</v>
      </c>
      <c r="F232" s="6">
        <v>27</v>
      </c>
      <c r="G232" s="6">
        <v>0</v>
      </c>
      <c r="H232" s="7">
        <f>IF(F232&gt;0,G232/F232,"n/a")</f>
        <v>0.0</v>
      </c>
      <c r="I232" s="6">
        <v>0</v>
      </c>
      <c r="J232" s="5" t="s">
        <v>67</v>
      </c>
      <c r="K232" s="6">
        <v>18</v>
      </c>
      <c r="L232" s="6">
        <v>18</v>
      </c>
      <c r="M232" s="7">
        <f>IF(K232&gt;0,L232/K232,"n/a")</f>
        <v>1.0</v>
      </c>
      <c r="N232" s="8">
        <f>IF(AND(F232&gt;0,K232&gt;0),(H232-M232)*100,"n/a")</f>
        <v>-100.0</v>
      </c>
      <c r="O232" s="5" t="s">
        <v>68</v>
      </c>
    </row>
    <row r="233" spans="1:15">
      <c r="A233" s="5" t="s">
        <v>283</v>
      </c>
      <c r="B233" s="5" t="s">
        <v>517</v>
      </c>
      <c r="C233" s="5" t="s">
        <v>518</v>
      </c>
      <c r="D233" s="5" t="s">
        <v>519</v>
      </c>
      <c r="E233" s="5" t="s">
        <v>520</v>
      </c>
      <c r="F233" s="6">
        <v>16</v>
      </c>
      <c r="G233" s="6">
        <v>32</v>
      </c>
      <c r="H233" s="7">
        <f>IF(F233&gt;0,G233/F233,"n/a")</f>
        <v>2.0</v>
      </c>
      <c r="I233" s="6">
        <v>0</v>
      </c>
      <c r="J233" s="5" t="s">
        <v>26</v>
      </c>
      <c r="K233" s="6">
        <v>0</v>
      </c>
      <c r="L233" s="6">
        <v>0</v>
      </c>
      <c r="M233" s="7" t="str">
        <f>IF(K233&gt;0,L233/K233,"n/a")</f>
        <v>n/a</v>
      </c>
      <c r="N233" s="8" t="str">
        <f>IF(AND(F233&gt;0,K233&gt;0),(H233-M233)*100,"n/a")</f>
        <v>n/a</v>
      </c>
      <c r="O233" s="5" t="s">
        <v>100</v>
      </c>
    </row>
    <row r="234" spans="1:15">
      <c r="A234" s="5" t="s">
        <v>283</v>
      </c>
      <c r="B234" s="5" t="s">
        <v>517</v>
      </c>
      <c r="C234" s="5" t="s">
        <v>518</v>
      </c>
      <c r="D234" s="5" t="s">
        <v>521</v>
      </c>
      <c r="E234" s="5" t="s">
        <v>522</v>
      </c>
      <c r="F234" s="6">
        <v>1</v>
      </c>
      <c r="G234" s="6">
        <v>1</v>
      </c>
      <c r="H234" s="7">
        <f>IF(F234&gt;0,G234/F234,"n/a")</f>
        <v>1.0</v>
      </c>
      <c r="I234" s="6">
        <v>0</v>
      </c>
      <c r="J234" s="5" t="s">
        <v>19</v>
      </c>
      <c r="K234" s="6">
        <v>4</v>
      </c>
      <c r="L234" s="6">
        <v>0</v>
      </c>
      <c r="M234" s="7">
        <f>IF(K234&gt;0,L234/K234,"n/a")</f>
        <v>0.0</v>
      </c>
      <c r="N234" s="8">
        <f>IF(AND(F234&gt;0,K234&gt;0),(H234-M234)*100,"n/a")</f>
        <v>100.0</v>
      </c>
      <c r="O234" s="5" t="s">
        <v>23</v>
      </c>
    </row>
    <row r="235" spans="1:15">
      <c r="A235" s="5" t="s">
        <v>283</v>
      </c>
      <c r="B235" s="5" t="s">
        <v>517</v>
      </c>
      <c r="C235" s="5" t="s">
        <v>518</v>
      </c>
      <c r="D235" s="5" t="s">
        <v>523</v>
      </c>
      <c r="E235" s="5" t="s">
        <v>524</v>
      </c>
      <c r="F235" s="6">
        <v>3</v>
      </c>
      <c r="G235" s="6">
        <v>3</v>
      </c>
      <c r="H235" s="7">
        <f>IF(F235&gt;0,G235/F235,"n/a")</f>
        <v>1.0</v>
      </c>
      <c r="I235" s="6">
        <v>0</v>
      </c>
      <c r="J235" s="5" t="s">
        <v>19</v>
      </c>
      <c r="K235" s="6">
        <v>0</v>
      </c>
      <c r="L235" s="6">
        <v>0</v>
      </c>
      <c r="M235" s="7" t="str">
        <f>IF(K235&gt;0,L235/K235,"n/a")</f>
        <v>n/a</v>
      </c>
      <c r="N235" s="8" t="str">
        <f>IF(AND(F235&gt;0,K235&gt;0),(H235-M235)*100,"n/a")</f>
        <v>n/a</v>
      </c>
      <c r="O235" s="5" t="s">
        <v>100</v>
      </c>
    </row>
    <row r="236" spans="1:15">
      <c r="A236" s="5" t="s">
        <v>283</v>
      </c>
      <c r="B236" s="5" t="s">
        <v>517</v>
      </c>
      <c r="C236" s="5" t="s">
        <v>518</v>
      </c>
      <c r="D236" s="5" t="s">
        <v>518</v>
      </c>
      <c r="E236" s="5" t="s">
        <v>525</v>
      </c>
      <c r="F236" s="6">
        <v>1</v>
      </c>
      <c r="G236" s="6">
        <v>1</v>
      </c>
      <c r="H236" s="7">
        <f>IF(F236&gt;0,G236/F236,"n/a")</f>
        <v>1.0</v>
      </c>
      <c r="I236" s="6">
        <v>0</v>
      </c>
      <c r="J236" s="5" t="s">
        <v>19</v>
      </c>
      <c r="K236" s="6">
        <v>0</v>
      </c>
      <c r="L236" s="6">
        <v>0</v>
      </c>
      <c r="M236" s="7" t="str">
        <f>IF(K236&gt;0,L236/K236,"n/a")</f>
        <v>n/a</v>
      </c>
      <c r="N236" s="8" t="str">
        <f>IF(AND(F236&gt;0,K236&gt;0),(H236-M236)*100,"n/a")</f>
        <v>n/a</v>
      </c>
      <c r="O236" s="5" t="s">
        <v>100</v>
      </c>
    </row>
    <row r="237" spans="1:15">
      <c r="A237" s="5" t="s">
        <v>283</v>
      </c>
      <c r="B237" s="5" t="s">
        <v>517</v>
      </c>
      <c r="C237" s="5" t="s">
        <v>518</v>
      </c>
      <c r="D237" s="5" t="s">
        <v>526</v>
      </c>
      <c r="E237" s="5" t="s">
        <v>527</v>
      </c>
      <c r="F237" s="6">
        <v>2</v>
      </c>
      <c r="G237" s="6">
        <v>2</v>
      </c>
      <c r="H237" s="7">
        <f>IF(F237&gt;0,G237/F237,"n/a")</f>
        <v>1.0</v>
      </c>
      <c r="I237" s="6">
        <v>0</v>
      </c>
      <c r="J237" s="5" t="s">
        <v>19</v>
      </c>
      <c r="K237" s="6">
        <v>1</v>
      </c>
      <c r="L237" s="6">
        <v>0</v>
      </c>
      <c r="M237" s="7">
        <f>IF(K237&gt;0,L237/K237,"n/a")</f>
        <v>0.0</v>
      </c>
      <c r="N237" s="8">
        <f>IF(AND(F237&gt;0,K237&gt;0),(H237-M237)*100,"n/a")</f>
        <v>100.0</v>
      </c>
      <c r="O237" s="5" t="s">
        <v>23</v>
      </c>
    </row>
    <row r="238" spans="1:15">
      <c r="A238" s="5" t="s">
        <v>283</v>
      </c>
      <c r="B238" s="5" t="s">
        <v>517</v>
      </c>
      <c r="C238" s="5" t="s">
        <v>518</v>
      </c>
      <c r="D238" s="5" t="s">
        <v>528</v>
      </c>
      <c r="E238" s="5" t="s">
        <v>529</v>
      </c>
      <c r="F238" s="6">
        <v>4</v>
      </c>
      <c r="G238" s="6">
        <v>6</v>
      </c>
      <c r="H238" s="7">
        <f>IF(F238&gt;0,G238/F238,"n/a")</f>
        <v>1.5</v>
      </c>
      <c r="I238" s="6">
        <v>0</v>
      </c>
      <c r="J238" s="5" t="s">
        <v>26</v>
      </c>
      <c r="K238" s="6">
        <v>1</v>
      </c>
      <c r="L238" s="6">
        <v>0</v>
      </c>
      <c r="M238" s="7">
        <f>IF(K238&gt;0,L238/K238,"n/a")</f>
        <v>0.0</v>
      </c>
      <c r="N238" s="8">
        <f>IF(AND(F238&gt;0,K238&gt;0),(H238-M238)*100,"n/a")</f>
        <v>150.0</v>
      </c>
      <c r="O238" s="5" t="s">
        <v>23</v>
      </c>
    </row>
    <row r="239" spans="1:15">
      <c r="A239" s="5" t="s">
        <v>283</v>
      </c>
      <c r="B239" s="5" t="s">
        <v>517</v>
      </c>
      <c r="C239" s="5" t="s">
        <v>518</v>
      </c>
      <c r="D239" s="5" t="s">
        <v>530</v>
      </c>
      <c r="E239" s="5" t="s">
        <v>531</v>
      </c>
      <c r="F239" s="6">
        <v>19</v>
      </c>
      <c r="G239" s="6">
        <v>19</v>
      </c>
      <c r="H239" s="7">
        <f>IF(F239&gt;0,G239/F239,"n/a")</f>
        <v>1.0</v>
      </c>
      <c r="I239" s="6">
        <v>0</v>
      </c>
      <c r="J239" s="5" t="s">
        <v>19</v>
      </c>
      <c r="K239" s="6">
        <v>0</v>
      </c>
      <c r="L239" s="6">
        <v>0</v>
      </c>
      <c r="M239" s="7" t="str">
        <f>IF(K239&gt;0,L239/K239,"n/a")</f>
        <v>n/a</v>
      </c>
      <c r="N239" s="8" t="str">
        <f>IF(AND(F239&gt;0,K239&gt;0),(H239-M239)*100,"n/a")</f>
        <v>n/a</v>
      </c>
      <c r="O239" s="5" t="s">
        <v>100</v>
      </c>
    </row>
    <row r="240" spans="1:15">
      <c r="A240" s="5" t="s">
        <v>283</v>
      </c>
      <c r="B240" s="5" t="s">
        <v>517</v>
      </c>
      <c r="C240" s="5" t="s">
        <v>532</v>
      </c>
      <c r="D240" s="5" t="s">
        <v>532</v>
      </c>
      <c r="E240" s="5" t="s">
        <v>533</v>
      </c>
      <c r="F240" s="6">
        <v>15</v>
      </c>
      <c r="G240" s="6">
        <v>14</v>
      </c>
      <c r="H240" s="7">
        <f>IF(F240&gt;0,G240/F240,"n/a")</f>
        <v>0.9329999999999999</v>
      </c>
      <c r="I240" s="6">
        <v>0</v>
      </c>
      <c r="J240" s="5" t="s">
        <v>19</v>
      </c>
      <c r="K240" s="6">
        <v>0</v>
      </c>
      <c r="L240" s="6">
        <v>0</v>
      </c>
      <c r="M240" s="7" t="str">
        <f>IF(K240&gt;0,L240/K240,"n/a")</f>
        <v>n/a</v>
      </c>
      <c r="N240" s="8" t="str">
        <f>IF(AND(F240&gt;0,K240&gt;0),(H240-M240)*100,"n/a")</f>
        <v>n/a</v>
      </c>
      <c r="O240" s="5" t="s">
        <v>100</v>
      </c>
    </row>
    <row r="241" spans="1:15">
      <c r="A241" s="5" t="s">
        <v>283</v>
      </c>
      <c r="B241" s="5" t="s">
        <v>517</v>
      </c>
      <c r="C241" s="5" t="s">
        <v>532</v>
      </c>
      <c r="D241" s="5" t="s">
        <v>534</v>
      </c>
      <c r="E241" s="5" t="s">
        <v>535</v>
      </c>
      <c r="F241" s="6">
        <v>3</v>
      </c>
      <c r="G241" s="6">
        <v>3</v>
      </c>
      <c r="H241" s="7">
        <f>IF(F241&gt;0,G241/F241,"n/a")</f>
        <v>1.0</v>
      </c>
      <c r="I241" s="6">
        <v>0</v>
      </c>
      <c r="J241" s="5" t="s">
        <v>19</v>
      </c>
      <c r="K241" s="6">
        <v>1</v>
      </c>
      <c r="L241" s="6">
        <v>0</v>
      </c>
      <c r="M241" s="7">
        <f>IF(K241&gt;0,L241/K241,"n/a")</f>
        <v>0.0</v>
      </c>
      <c r="N241" s="8">
        <f>IF(AND(F241&gt;0,K241&gt;0),(H241-M241)*100,"n/a")</f>
        <v>100.0</v>
      </c>
      <c r="O241" s="5" t="s">
        <v>23</v>
      </c>
    </row>
    <row r="242" spans="1:15">
      <c r="A242" s="5" t="s">
        <v>283</v>
      </c>
      <c r="B242" s="5" t="s">
        <v>517</v>
      </c>
      <c r="C242" s="5" t="s">
        <v>532</v>
      </c>
      <c r="D242" s="5" t="s">
        <v>536</v>
      </c>
      <c r="E242" s="5" t="s">
        <v>537</v>
      </c>
      <c r="F242" s="6">
        <v>5</v>
      </c>
      <c r="G242" s="6">
        <v>5</v>
      </c>
      <c r="H242" s="7">
        <f>IF(F242&gt;0,G242/F242,"n/a")</f>
        <v>1.0</v>
      </c>
      <c r="I242" s="6">
        <v>0</v>
      </c>
      <c r="J242" s="5" t="s">
        <v>19</v>
      </c>
      <c r="K242" s="6">
        <v>1</v>
      </c>
      <c r="L242" s="6">
        <v>0</v>
      </c>
      <c r="M242" s="7">
        <f>IF(K242&gt;0,L242/K242,"n/a")</f>
        <v>0.0</v>
      </c>
      <c r="N242" s="8">
        <f>IF(AND(F242&gt;0,K242&gt;0),(H242-M242)*100,"n/a")</f>
        <v>100.0</v>
      </c>
      <c r="O242" s="5" t="s">
        <v>23</v>
      </c>
    </row>
    <row r="243" spans="1:15">
      <c r="A243" s="5" t="s">
        <v>283</v>
      </c>
      <c r="B243" s="5" t="s">
        <v>517</v>
      </c>
      <c r="C243" s="5" t="s">
        <v>532</v>
      </c>
      <c r="D243" s="5" t="s">
        <v>538</v>
      </c>
      <c r="E243" s="5" t="s">
        <v>539</v>
      </c>
      <c r="F243" s="6">
        <v>3</v>
      </c>
      <c r="G243" s="6">
        <v>3</v>
      </c>
      <c r="H243" s="7">
        <f>IF(F243&gt;0,G243/F243,"n/a")</f>
        <v>1.0</v>
      </c>
      <c r="I243" s="6">
        <v>0</v>
      </c>
      <c r="J243" s="5" t="s">
        <v>19</v>
      </c>
      <c r="K243" s="6">
        <v>0</v>
      </c>
      <c r="L243" s="6">
        <v>0</v>
      </c>
      <c r="M243" s="7" t="str">
        <f>IF(K243&gt;0,L243/K243,"n/a")</f>
        <v>n/a</v>
      </c>
      <c r="N243" s="8" t="str">
        <f>IF(AND(F243&gt;0,K243&gt;0),(H243-M243)*100,"n/a")</f>
        <v>n/a</v>
      </c>
      <c r="O243" s="5" t="s">
        <v>100</v>
      </c>
    </row>
    <row r="244" spans="1:15">
      <c r="A244" s="5" t="s">
        <v>283</v>
      </c>
      <c r="B244" s="5" t="s">
        <v>517</v>
      </c>
      <c r="C244" s="5" t="s">
        <v>532</v>
      </c>
      <c r="D244" s="5" t="s">
        <v>540</v>
      </c>
      <c r="E244" s="5" t="s">
        <v>541</v>
      </c>
      <c r="F244" s="6">
        <v>4</v>
      </c>
      <c r="G244" s="6">
        <v>4</v>
      </c>
      <c r="H244" s="7">
        <f>IF(F244&gt;0,G244/F244,"n/a")</f>
        <v>1.0</v>
      </c>
      <c r="I244" s="6">
        <v>0</v>
      </c>
      <c r="J244" s="5" t="s">
        <v>19</v>
      </c>
      <c r="K244" s="6">
        <v>3</v>
      </c>
      <c r="L244" s="6">
        <v>3</v>
      </c>
      <c r="M244" s="7">
        <f>IF(K244&gt;0,L244/K244,"n/a")</f>
        <v>1.0</v>
      </c>
      <c r="N244" s="8">
        <f>IF(AND(F244&gt;0,K244&gt;0),(H244-M244)*100,"n/a")</f>
        <v>0.0</v>
      </c>
      <c r="O244" s="5" t="s">
        <v>20</v>
      </c>
    </row>
    <row r="245" spans="1:15">
      <c r="A245" s="5" t="s">
        <v>283</v>
      </c>
      <c r="B245" s="5" t="s">
        <v>517</v>
      </c>
      <c r="C245" s="5" t="s">
        <v>542</v>
      </c>
      <c r="D245" s="5" t="s">
        <v>543</v>
      </c>
      <c r="E245" s="5" t="s">
        <v>544</v>
      </c>
      <c r="F245" s="6">
        <v>5</v>
      </c>
      <c r="G245" s="6">
        <v>8</v>
      </c>
      <c r="H245" s="7">
        <f>IF(F245&gt;0,G245/F245,"n/a")</f>
        <v>1.6</v>
      </c>
      <c r="I245" s="6">
        <v>0</v>
      </c>
      <c r="J245" s="5" t="s">
        <v>26</v>
      </c>
      <c r="K245" s="6">
        <v>0</v>
      </c>
      <c r="L245" s="6">
        <v>0</v>
      </c>
      <c r="M245" s="7" t="str">
        <f>IF(K245&gt;0,L245/K245,"n/a")</f>
        <v>n/a</v>
      </c>
      <c r="N245" s="8" t="str">
        <f>IF(AND(F245&gt;0,K245&gt;0),(H245-M245)*100,"n/a")</f>
        <v>n/a</v>
      </c>
      <c r="O245" s="5" t="s">
        <v>100</v>
      </c>
    </row>
    <row r="246" spans="1:15">
      <c r="A246" s="5" t="s">
        <v>283</v>
      </c>
      <c r="B246" s="5" t="s">
        <v>517</v>
      </c>
      <c r="C246" s="5" t="s">
        <v>542</v>
      </c>
      <c r="D246" s="5" t="s">
        <v>545</v>
      </c>
      <c r="E246" s="5" t="s">
        <v>546</v>
      </c>
      <c r="F246" s="6">
        <v>9</v>
      </c>
      <c r="G246" s="6">
        <v>8</v>
      </c>
      <c r="H246" s="7">
        <f>IF(F246&gt;0,G246/F246,"n/a")</f>
        <v>0.889</v>
      </c>
      <c r="I246" s="6">
        <v>0</v>
      </c>
      <c r="J246" s="5" t="s">
        <v>19</v>
      </c>
      <c r="K246" s="6">
        <v>1</v>
      </c>
      <c r="L246" s="6">
        <v>1</v>
      </c>
      <c r="M246" s="7">
        <f>IF(K246&gt;0,L246/K246,"n/a")</f>
        <v>1.0</v>
      </c>
      <c r="N246" s="8">
        <f>IF(AND(F246&gt;0,K246&gt;0),(H246-M246)*100,"n/a")</f>
        <v>-11.1</v>
      </c>
      <c r="O246" s="5" t="s">
        <v>20</v>
      </c>
    </row>
    <row r="247" spans="1:15">
      <c r="A247" s="5" t="s">
        <v>283</v>
      </c>
      <c r="B247" s="5" t="s">
        <v>517</v>
      </c>
      <c r="C247" s="5" t="s">
        <v>542</v>
      </c>
      <c r="D247" s="5" t="s">
        <v>547</v>
      </c>
      <c r="E247" s="5" t="s">
        <v>548</v>
      </c>
      <c r="F247" s="6">
        <v>12</v>
      </c>
      <c r="G247" s="6">
        <v>12</v>
      </c>
      <c r="H247" s="7">
        <f>IF(F247&gt;0,G247/F247,"n/a")</f>
        <v>1.0</v>
      </c>
      <c r="I247" s="6">
        <v>0</v>
      </c>
      <c r="J247" s="5" t="s">
        <v>19</v>
      </c>
      <c r="K247" s="6">
        <v>5</v>
      </c>
      <c r="L247" s="6">
        <v>0</v>
      </c>
      <c r="M247" s="7">
        <f>IF(K247&gt;0,L247/K247,"n/a")</f>
        <v>0.0</v>
      </c>
      <c r="N247" s="8">
        <f>IF(AND(F247&gt;0,K247&gt;0),(H247-M247)*100,"n/a")</f>
        <v>100.0</v>
      </c>
      <c r="O247" s="5" t="s">
        <v>23</v>
      </c>
    </row>
    <row r="248" spans="1:15">
      <c r="A248" s="5" t="s">
        <v>283</v>
      </c>
      <c r="B248" s="5" t="s">
        <v>517</v>
      </c>
      <c r="C248" s="5" t="s">
        <v>542</v>
      </c>
      <c r="D248" s="5" t="s">
        <v>549</v>
      </c>
      <c r="E248" s="5" t="s">
        <v>550</v>
      </c>
      <c r="F248" s="6">
        <v>0</v>
      </c>
      <c r="G248" s="6">
        <v>0</v>
      </c>
      <c r="H248" s="7" t="str">
        <f>IF(F248&gt;0,G248/F248,"n/a")</f>
        <v>n/a</v>
      </c>
      <c r="I248" s="6">
        <v>0</v>
      </c>
      <c r="J248" s="5" t="s">
        <v>19</v>
      </c>
      <c r="K248" s="6">
        <v>0</v>
      </c>
      <c r="L248" s="6">
        <v>0</v>
      </c>
      <c r="M248" s="7" t="str">
        <f>IF(K248&gt;0,L248/K248,"n/a")</f>
        <v>n/a</v>
      </c>
      <c r="N248" s="8" t="str">
        <f>IF(AND(F248&gt;0,K248&gt;0),(H248-M248)*100,"n/a")</f>
        <v>n/a</v>
      </c>
      <c r="O248" s="5" t="s">
        <v>100</v>
      </c>
    </row>
    <row r="249" spans="1:15">
      <c r="A249" s="5" t="s">
        <v>283</v>
      </c>
      <c r="B249" s="5" t="s">
        <v>517</v>
      </c>
      <c r="C249" s="5" t="s">
        <v>542</v>
      </c>
      <c r="D249" s="5" t="s">
        <v>551</v>
      </c>
      <c r="E249" s="5" t="s">
        <v>552</v>
      </c>
      <c r="F249" s="6">
        <v>7</v>
      </c>
      <c r="G249" s="6">
        <v>5</v>
      </c>
      <c r="H249" s="7">
        <f>IF(F249&gt;0,G249/F249,"n/a")</f>
        <v>0.7140000000000001</v>
      </c>
      <c r="I249" s="6">
        <v>0</v>
      </c>
      <c r="J249" s="5" t="s">
        <v>45</v>
      </c>
      <c r="K249" s="6">
        <v>4</v>
      </c>
      <c r="L249" s="6">
        <v>0</v>
      </c>
      <c r="M249" s="7">
        <f>IF(K249&gt;0,L249/K249,"n/a")</f>
        <v>0.0</v>
      </c>
      <c r="N249" s="8">
        <f>IF(AND(F249&gt;0,K249&gt;0),(H249-M249)*100,"n/a")</f>
        <v>71.4</v>
      </c>
      <c r="O249" s="5" t="s">
        <v>46</v>
      </c>
    </row>
    <row r="250" spans="1:15">
      <c r="A250" s="5" t="s">
        <v>283</v>
      </c>
      <c r="B250" s="5" t="s">
        <v>517</v>
      </c>
      <c r="C250" s="5" t="s">
        <v>542</v>
      </c>
      <c r="D250" s="5" t="s">
        <v>553</v>
      </c>
      <c r="E250" s="5" t="s">
        <v>554</v>
      </c>
      <c r="F250" s="6">
        <v>0</v>
      </c>
      <c r="G250" s="6">
        <v>2</v>
      </c>
      <c r="H250" s="7" t="str">
        <f>IF(F250&gt;0,G250/F250,"n/a")</f>
        <v>n/a</v>
      </c>
      <c r="I250" s="6">
        <v>0</v>
      </c>
      <c r="J250" s="5" t="s">
        <v>244</v>
      </c>
      <c r="K250" s="6">
        <v>0</v>
      </c>
      <c r="L250" s="6">
        <v>0</v>
      </c>
      <c r="M250" s="7" t="str">
        <f>IF(K250&gt;0,L250/K250,"n/a")</f>
        <v>n/a</v>
      </c>
      <c r="N250" s="8" t="str">
        <f>IF(AND(F250&gt;0,K250&gt;0),(H250-M250)*100,"n/a")</f>
        <v>n/a</v>
      </c>
      <c r="O250" s="5" t="s">
        <v>100</v>
      </c>
    </row>
    <row r="251" spans="1:15">
      <c r="A251" s="5" t="s">
        <v>283</v>
      </c>
      <c r="B251" s="5" t="s">
        <v>517</v>
      </c>
      <c r="C251" s="5" t="s">
        <v>542</v>
      </c>
      <c r="D251" s="5" t="s">
        <v>555</v>
      </c>
      <c r="E251" s="5" t="s">
        <v>556</v>
      </c>
      <c r="F251" s="6">
        <v>15</v>
      </c>
      <c r="G251" s="6">
        <v>24</v>
      </c>
      <c r="H251" s="7">
        <f>IF(F251&gt;0,G251/F251,"n/a")</f>
        <v>1.6</v>
      </c>
      <c r="I251" s="6">
        <v>0</v>
      </c>
      <c r="J251" s="5" t="s">
        <v>26</v>
      </c>
      <c r="K251" s="6">
        <v>0</v>
      </c>
      <c r="L251" s="6">
        <v>0</v>
      </c>
      <c r="M251" s="7" t="str">
        <f>IF(K251&gt;0,L251/K251,"n/a")</f>
        <v>n/a</v>
      </c>
      <c r="N251" s="8" t="str">
        <f>IF(AND(F251&gt;0,K251&gt;0),(H251-M251)*100,"n/a")</f>
        <v>n/a</v>
      </c>
      <c r="O251" s="5" t="s">
        <v>100</v>
      </c>
    </row>
    <row r="252" spans="1:15">
      <c r="A252" s="5" t="s">
        <v>283</v>
      </c>
      <c r="B252" s="5" t="s">
        <v>517</v>
      </c>
      <c r="C252" s="5" t="s">
        <v>542</v>
      </c>
      <c r="D252" s="5" t="s">
        <v>557</v>
      </c>
      <c r="E252" s="5" t="s">
        <v>558</v>
      </c>
      <c r="F252" s="6">
        <v>66</v>
      </c>
      <c r="G252" s="6">
        <v>104</v>
      </c>
      <c r="H252" s="7">
        <f>IF(F252&gt;0,G252/F252,"n/a")</f>
        <v>1.5759999999999998</v>
      </c>
      <c r="I252" s="6">
        <v>0</v>
      </c>
      <c r="J252" s="5" t="s">
        <v>26</v>
      </c>
      <c r="K252" s="6">
        <v>5</v>
      </c>
      <c r="L252" s="6">
        <v>0</v>
      </c>
      <c r="M252" s="7">
        <f>IF(K252&gt;0,L252/K252,"n/a")</f>
        <v>0.0</v>
      </c>
      <c r="N252" s="8">
        <f>IF(AND(F252&gt;0,K252&gt;0),(H252-M252)*100,"n/a")</f>
        <v>157.6</v>
      </c>
      <c r="O252" s="5" t="s">
        <v>23</v>
      </c>
    </row>
    <row r="253" spans="1:15">
      <c r="A253" s="5" t="s">
        <v>283</v>
      </c>
      <c r="B253" s="5" t="s">
        <v>517</v>
      </c>
      <c r="C253" s="5" t="s">
        <v>542</v>
      </c>
      <c r="D253" s="5" t="s">
        <v>509</v>
      </c>
      <c r="E253" s="5" t="s">
        <v>559</v>
      </c>
      <c r="F253" s="6">
        <v>6</v>
      </c>
      <c r="G253" s="6">
        <v>0</v>
      </c>
      <c r="H253" s="7">
        <f>IF(F253&gt;0,G253/F253,"n/a")</f>
        <v>0.0</v>
      </c>
      <c r="I253" s="6">
        <v>0</v>
      </c>
      <c r="J253" s="5" t="s">
        <v>67</v>
      </c>
      <c r="K253" s="6">
        <v>0</v>
      </c>
      <c r="L253" s="6">
        <v>0</v>
      </c>
      <c r="M253" s="7" t="str">
        <f>IF(K253&gt;0,L253/K253,"n/a")</f>
        <v>n/a</v>
      </c>
      <c r="N253" s="8" t="str">
        <f>IF(AND(F253&gt;0,K253&gt;0),(H253-M253)*100,"n/a")</f>
        <v>n/a</v>
      </c>
      <c r="O253" s="5" t="s">
        <v>100</v>
      </c>
    </row>
    <row r="254" spans="1:15">
      <c r="A254" s="5" t="s">
        <v>283</v>
      </c>
      <c r="B254" s="5" t="s">
        <v>517</v>
      </c>
      <c r="C254" s="5" t="s">
        <v>560</v>
      </c>
      <c r="D254" s="5" t="s">
        <v>561</v>
      </c>
      <c r="E254" s="5" t="s">
        <v>562</v>
      </c>
      <c r="F254" s="6">
        <v>31</v>
      </c>
      <c r="G254" s="6">
        <v>31</v>
      </c>
      <c r="H254" s="7">
        <f>IF(F254&gt;0,G254/F254,"n/a")</f>
        <v>1.0</v>
      </c>
      <c r="I254" s="6">
        <v>0</v>
      </c>
      <c r="J254" s="5" t="s">
        <v>19</v>
      </c>
      <c r="K254" s="6">
        <v>0</v>
      </c>
      <c r="L254" s="6">
        <v>0</v>
      </c>
      <c r="M254" s="7" t="str">
        <f>IF(K254&gt;0,L254/K254,"n/a")</f>
        <v>n/a</v>
      </c>
      <c r="N254" s="8" t="str">
        <f>IF(AND(F254&gt;0,K254&gt;0),(H254-M254)*100,"n/a")</f>
        <v>n/a</v>
      </c>
      <c r="O254" s="5" t="s">
        <v>100</v>
      </c>
    </row>
    <row r="255" spans="1:15">
      <c r="A255" s="5" t="s">
        <v>283</v>
      </c>
      <c r="B255" s="5" t="s">
        <v>517</v>
      </c>
      <c r="C255" s="5" t="s">
        <v>560</v>
      </c>
      <c r="D255" s="5" t="s">
        <v>563</v>
      </c>
      <c r="E255" s="5" t="s">
        <v>564</v>
      </c>
      <c r="F255" s="6">
        <v>15</v>
      </c>
      <c r="G255" s="6">
        <v>16</v>
      </c>
      <c r="H255" s="7">
        <f>IF(F255&gt;0,G255/F255,"n/a")</f>
        <v>1.067</v>
      </c>
      <c r="I255" s="6">
        <v>0</v>
      </c>
      <c r="J255" s="5" t="s">
        <v>19</v>
      </c>
      <c r="K255" s="6">
        <v>0</v>
      </c>
      <c r="L255" s="6">
        <v>0</v>
      </c>
      <c r="M255" s="7" t="str">
        <f>IF(K255&gt;0,L255/K255,"n/a")</f>
        <v>n/a</v>
      </c>
      <c r="N255" s="8" t="str">
        <f>IF(AND(F255&gt;0,K255&gt;0),(H255-M255)*100,"n/a")</f>
        <v>n/a</v>
      </c>
      <c r="O255" s="5" t="s">
        <v>100</v>
      </c>
    </row>
    <row r="256" spans="1:15">
      <c r="A256" s="5" t="s">
        <v>283</v>
      </c>
      <c r="B256" s="5" t="s">
        <v>517</v>
      </c>
      <c r="C256" s="5" t="s">
        <v>560</v>
      </c>
      <c r="D256" s="5" t="s">
        <v>565</v>
      </c>
      <c r="E256" s="5" t="s">
        <v>566</v>
      </c>
      <c r="F256" s="6">
        <v>11</v>
      </c>
      <c r="G256" s="6">
        <v>11</v>
      </c>
      <c r="H256" s="7">
        <f>IF(F256&gt;0,G256/F256,"n/a")</f>
        <v>1.0</v>
      </c>
      <c r="I256" s="6">
        <v>0</v>
      </c>
      <c r="J256" s="5" t="s">
        <v>19</v>
      </c>
      <c r="K256" s="6">
        <v>0</v>
      </c>
      <c r="L256" s="6">
        <v>0</v>
      </c>
      <c r="M256" s="7" t="str">
        <f>IF(K256&gt;0,L256/K256,"n/a")</f>
        <v>n/a</v>
      </c>
      <c r="N256" s="8" t="str">
        <f>IF(AND(F256&gt;0,K256&gt;0),(H256-M256)*100,"n/a")</f>
        <v>n/a</v>
      </c>
      <c r="O256" s="5" t="s">
        <v>100</v>
      </c>
    </row>
    <row r="257" spans="1:15">
      <c r="A257" s="5" t="s">
        <v>283</v>
      </c>
      <c r="B257" s="5" t="s">
        <v>517</v>
      </c>
      <c r="C257" s="5" t="s">
        <v>560</v>
      </c>
      <c r="D257" s="5" t="s">
        <v>567</v>
      </c>
      <c r="E257" s="5" t="s">
        <v>568</v>
      </c>
      <c r="F257" s="6">
        <v>0</v>
      </c>
      <c r="G257" s="6">
        <v>0</v>
      </c>
      <c r="H257" s="7" t="str">
        <f>IF(F257&gt;0,G257/F257,"n/a")</f>
        <v>n/a</v>
      </c>
      <c r="I257" s="6">
        <v>0</v>
      </c>
      <c r="J257" s="5" t="s">
        <v>19</v>
      </c>
      <c r="K257" s="6">
        <v>0</v>
      </c>
      <c r="L257" s="6">
        <v>0</v>
      </c>
      <c r="M257" s="7" t="str">
        <f>IF(K257&gt;0,L257/K257,"n/a")</f>
        <v>n/a</v>
      </c>
      <c r="N257" s="8" t="str">
        <f>IF(AND(F257&gt;0,K257&gt;0),(H257-M257)*100,"n/a")</f>
        <v>n/a</v>
      </c>
      <c r="O257" s="5" t="s">
        <v>100</v>
      </c>
    </row>
    <row r="258" spans="1:15">
      <c r="A258" s="5" t="s">
        <v>283</v>
      </c>
      <c r="B258" s="5" t="s">
        <v>517</v>
      </c>
      <c r="C258" s="5" t="s">
        <v>560</v>
      </c>
      <c r="D258" s="5" t="s">
        <v>560</v>
      </c>
      <c r="E258" s="5" t="s">
        <v>569</v>
      </c>
      <c r="F258" s="6">
        <v>2</v>
      </c>
      <c r="G258" s="6">
        <v>2</v>
      </c>
      <c r="H258" s="7">
        <f>IF(F258&gt;0,G258/F258,"n/a")</f>
        <v>1.0</v>
      </c>
      <c r="I258" s="6">
        <v>0</v>
      </c>
      <c r="J258" s="5" t="s">
        <v>19</v>
      </c>
      <c r="K258" s="6">
        <v>0</v>
      </c>
      <c r="L258" s="6">
        <v>0</v>
      </c>
      <c r="M258" s="7" t="str">
        <f>IF(K258&gt;0,L258/K258,"n/a")</f>
        <v>n/a</v>
      </c>
      <c r="N258" s="8" t="str">
        <f>IF(AND(F258&gt;0,K258&gt;0),(H258-M258)*100,"n/a")</f>
        <v>n/a</v>
      </c>
      <c r="O258" s="5" t="s">
        <v>100</v>
      </c>
    </row>
    <row r="259" spans="1:15">
      <c r="A259" s="5" t="s">
        <v>283</v>
      </c>
      <c r="B259" s="5" t="s">
        <v>517</v>
      </c>
      <c r="C259" s="5" t="s">
        <v>560</v>
      </c>
      <c r="D259" s="5" t="s">
        <v>570</v>
      </c>
      <c r="E259" s="5" t="s">
        <v>571</v>
      </c>
      <c r="F259" s="6">
        <v>7</v>
      </c>
      <c r="G259" s="6">
        <v>7</v>
      </c>
      <c r="H259" s="7">
        <f>IF(F259&gt;0,G259/F259,"n/a")</f>
        <v>1.0</v>
      </c>
      <c r="I259" s="6">
        <v>0</v>
      </c>
      <c r="J259" s="5" t="s">
        <v>19</v>
      </c>
      <c r="K259" s="6">
        <v>0</v>
      </c>
      <c r="L259" s="6">
        <v>0</v>
      </c>
      <c r="M259" s="7" t="str">
        <f>IF(K259&gt;0,L259/K259,"n/a")</f>
        <v>n/a</v>
      </c>
      <c r="N259" s="8" t="str">
        <f>IF(AND(F259&gt;0,K259&gt;0),(H259-M259)*100,"n/a")</f>
        <v>n/a</v>
      </c>
      <c r="O259" s="5" t="s">
        <v>100</v>
      </c>
    </row>
    <row r="260" spans="1:15">
      <c r="A260" s="5" t="s">
        <v>283</v>
      </c>
      <c r="B260" s="5" t="s">
        <v>517</v>
      </c>
      <c r="C260" s="5" t="s">
        <v>572</v>
      </c>
      <c r="D260" s="5" t="s">
        <v>573</v>
      </c>
      <c r="E260" s="5" t="s">
        <v>574</v>
      </c>
      <c r="F260" s="6">
        <v>6</v>
      </c>
      <c r="G260" s="6">
        <v>6</v>
      </c>
      <c r="H260" s="7">
        <f>IF(F260&gt;0,G260/F260,"n/a")</f>
        <v>1.0</v>
      </c>
      <c r="I260" s="6">
        <v>0</v>
      </c>
      <c r="J260" s="5" t="s">
        <v>19</v>
      </c>
      <c r="K260" s="6">
        <v>0</v>
      </c>
      <c r="L260" s="6">
        <v>0</v>
      </c>
      <c r="M260" s="7" t="str">
        <f>IF(K260&gt;0,L260/K260,"n/a")</f>
        <v>n/a</v>
      </c>
      <c r="N260" s="8" t="str">
        <f>IF(AND(F260&gt;0,K260&gt;0),(H260-M260)*100,"n/a")</f>
        <v>n/a</v>
      </c>
      <c r="O260" s="5" t="s">
        <v>100</v>
      </c>
    </row>
    <row r="261" spans="1:15">
      <c r="A261" s="5" t="s">
        <v>283</v>
      </c>
      <c r="B261" s="5" t="s">
        <v>517</v>
      </c>
      <c r="C261" s="5" t="s">
        <v>572</v>
      </c>
      <c r="D261" s="5" t="s">
        <v>575</v>
      </c>
      <c r="E261" s="5" t="s">
        <v>576</v>
      </c>
      <c r="F261" s="6">
        <v>2</v>
      </c>
      <c r="G261" s="6">
        <v>2</v>
      </c>
      <c r="H261" s="7">
        <f>IF(F261&gt;0,G261/F261,"n/a")</f>
        <v>1.0</v>
      </c>
      <c r="I261" s="6">
        <v>0</v>
      </c>
      <c r="J261" s="5" t="s">
        <v>19</v>
      </c>
      <c r="K261" s="6">
        <v>0</v>
      </c>
      <c r="L261" s="6">
        <v>0</v>
      </c>
      <c r="M261" s="7" t="str">
        <f>IF(K261&gt;0,L261/K261,"n/a")</f>
        <v>n/a</v>
      </c>
      <c r="N261" s="8" t="str">
        <f>IF(AND(F261&gt;0,K261&gt;0),(H261-M261)*100,"n/a")</f>
        <v>n/a</v>
      </c>
      <c r="O261" s="5" t="s">
        <v>100</v>
      </c>
    </row>
    <row r="262" spans="1:15">
      <c r="A262" s="5" t="s">
        <v>283</v>
      </c>
      <c r="B262" s="5" t="s">
        <v>517</v>
      </c>
      <c r="C262" s="5" t="s">
        <v>572</v>
      </c>
      <c r="D262" s="5" t="s">
        <v>572</v>
      </c>
      <c r="E262" s="5" t="s">
        <v>577</v>
      </c>
      <c r="F262" s="6">
        <v>2</v>
      </c>
      <c r="G262" s="6">
        <v>0</v>
      </c>
      <c r="H262" s="7">
        <f>IF(F262&gt;0,G262/F262,"n/a")</f>
        <v>0.0</v>
      </c>
      <c r="I262" s="6">
        <v>0</v>
      </c>
      <c r="J262" s="5" t="s">
        <v>67</v>
      </c>
      <c r="K262" s="6">
        <v>0</v>
      </c>
      <c r="L262" s="6">
        <v>0</v>
      </c>
      <c r="M262" s="7" t="str">
        <f>IF(K262&gt;0,L262/K262,"n/a")</f>
        <v>n/a</v>
      </c>
      <c r="N262" s="8" t="str">
        <f>IF(AND(F262&gt;0,K262&gt;0),(H262-M262)*100,"n/a")</f>
        <v>n/a</v>
      </c>
      <c r="O262" s="5" t="s">
        <v>100</v>
      </c>
    </row>
    <row r="263" spans="1:15">
      <c r="A263" s="5" t="s">
        <v>283</v>
      </c>
      <c r="B263" s="5" t="s">
        <v>517</v>
      </c>
      <c r="C263" s="5" t="s">
        <v>578</v>
      </c>
      <c r="D263" s="5" t="s">
        <v>578</v>
      </c>
      <c r="E263" s="5" t="s">
        <v>579</v>
      </c>
      <c r="F263" s="6">
        <v>5</v>
      </c>
      <c r="G263" s="6">
        <v>0</v>
      </c>
      <c r="H263" s="7">
        <f>IF(F263&gt;0,G263/F263,"n/a")</f>
        <v>0.0</v>
      </c>
      <c r="I263" s="6">
        <v>0</v>
      </c>
      <c r="J263" s="5" t="s">
        <v>67</v>
      </c>
      <c r="K263" s="6">
        <v>0</v>
      </c>
      <c r="L263" s="6">
        <v>0</v>
      </c>
      <c r="M263" s="7" t="str">
        <f>IF(K263&gt;0,L263/K263,"n/a")</f>
        <v>n/a</v>
      </c>
      <c r="N263" s="8" t="str">
        <f>IF(AND(F263&gt;0,K263&gt;0),(H263-M263)*100,"n/a")</f>
        <v>n/a</v>
      </c>
      <c r="O263" s="5" t="s">
        <v>100</v>
      </c>
    </row>
    <row r="264" spans="1:15">
      <c r="A264" s="5" t="s">
        <v>283</v>
      </c>
      <c r="B264" s="5" t="s">
        <v>517</v>
      </c>
      <c r="C264" s="5" t="s">
        <v>578</v>
      </c>
      <c r="D264" s="5" t="s">
        <v>580</v>
      </c>
      <c r="E264" s="5" t="s">
        <v>581</v>
      </c>
      <c r="F264" s="6">
        <v>5</v>
      </c>
      <c r="G264" s="6">
        <v>5</v>
      </c>
      <c r="H264" s="7">
        <f>IF(F264&gt;0,G264/F264,"n/a")</f>
        <v>1.0</v>
      </c>
      <c r="I264" s="6">
        <v>0</v>
      </c>
      <c r="J264" s="5" t="s">
        <v>19</v>
      </c>
      <c r="K264" s="6">
        <v>0</v>
      </c>
      <c r="L264" s="6">
        <v>0</v>
      </c>
      <c r="M264" s="7" t="str">
        <f>IF(K264&gt;0,L264/K264,"n/a")</f>
        <v>n/a</v>
      </c>
      <c r="N264" s="8" t="str">
        <f>IF(AND(F264&gt;0,K264&gt;0),(H264-M264)*100,"n/a")</f>
        <v>n/a</v>
      </c>
      <c r="O264" s="5" t="s">
        <v>100</v>
      </c>
    </row>
    <row r="265" spans="1:15">
      <c r="A265" s="5" t="s">
        <v>283</v>
      </c>
      <c r="B265" s="5" t="s">
        <v>517</v>
      </c>
      <c r="C265" s="5" t="s">
        <v>582</v>
      </c>
      <c r="D265" s="5" t="s">
        <v>583</v>
      </c>
      <c r="E265" s="5" t="s">
        <v>584</v>
      </c>
      <c r="F265" s="6">
        <v>5</v>
      </c>
      <c r="G265" s="6">
        <v>6</v>
      </c>
      <c r="H265" s="7">
        <f>IF(F265&gt;0,G265/F265,"n/a")</f>
        <v>1.2</v>
      </c>
      <c r="I265" s="6">
        <v>0</v>
      </c>
      <c r="J265" s="5" t="s">
        <v>26</v>
      </c>
      <c r="K265" s="6">
        <v>2</v>
      </c>
      <c r="L265" s="6">
        <v>0</v>
      </c>
      <c r="M265" s="7">
        <f>IF(K265&gt;0,L265/K265,"n/a")</f>
        <v>0.0</v>
      </c>
      <c r="N265" s="8">
        <f>IF(AND(F265&gt;0,K265&gt;0),(H265-M265)*100,"n/a")</f>
        <v>120.0</v>
      </c>
      <c r="O265" s="5" t="s">
        <v>23</v>
      </c>
    </row>
    <row r="266" spans="1:15">
      <c r="A266" s="5" t="s">
        <v>283</v>
      </c>
      <c r="B266" s="5" t="s">
        <v>517</v>
      </c>
      <c r="C266" s="5" t="s">
        <v>582</v>
      </c>
      <c r="D266" s="5" t="s">
        <v>585</v>
      </c>
      <c r="E266" s="5" t="s">
        <v>586</v>
      </c>
      <c r="F266" s="6">
        <v>3</v>
      </c>
      <c r="G266" s="6">
        <v>4</v>
      </c>
      <c r="H266" s="7">
        <f>IF(F266&gt;0,G266/F266,"n/a")</f>
        <v>1.3330000000000002</v>
      </c>
      <c r="I266" s="6">
        <v>0</v>
      </c>
      <c r="J266" s="5" t="s">
        <v>26</v>
      </c>
      <c r="K266" s="6">
        <v>0</v>
      </c>
      <c r="L266" s="6">
        <v>0</v>
      </c>
      <c r="M266" s="7" t="str">
        <f>IF(K266&gt;0,L266/K266,"n/a")</f>
        <v>n/a</v>
      </c>
      <c r="N266" s="8" t="str">
        <f>IF(AND(F266&gt;0,K266&gt;0),(H266-M266)*100,"n/a")</f>
        <v>n/a</v>
      </c>
      <c r="O266" s="5" t="s">
        <v>100</v>
      </c>
    </row>
    <row r="267" spans="1:15">
      <c r="A267" s="5" t="s">
        <v>587</v>
      </c>
      <c r="B267" s="5" t="s">
        <v>588</v>
      </c>
      <c r="C267" s="5" t="s">
        <v>589</v>
      </c>
      <c r="D267" s="5" t="s">
        <v>590</v>
      </c>
      <c r="E267" s="5" t="s">
        <v>591</v>
      </c>
      <c r="F267" s="6">
        <v>44</v>
      </c>
      <c r="G267" s="6">
        <v>44</v>
      </c>
      <c r="H267" s="7">
        <f>IF(F267&gt;0,G267/F267,"n/a")</f>
        <v>1.0</v>
      </c>
      <c r="I267" s="6">
        <v>0</v>
      </c>
      <c r="J267" s="5" t="s">
        <v>19</v>
      </c>
      <c r="K267" s="6">
        <v>41</v>
      </c>
      <c r="L267" s="6">
        <v>30</v>
      </c>
      <c r="M267" s="7">
        <f>IF(K267&gt;0,L267/K267,"n/a")</f>
        <v>0.732</v>
      </c>
      <c r="N267" s="8">
        <f>IF(AND(F267&gt;0,K267&gt;0),(H267-M267)*100,"n/a")</f>
        <v>26.8</v>
      </c>
      <c r="O267" s="5" t="s">
        <v>23</v>
      </c>
    </row>
    <row r="268" spans="1:15">
      <c r="A268" s="5" t="s">
        <v>587</v>
      </c>
      <c r="B268" s="5" t="s">
        <v>588</v>
      </c>
      <c r="C268" s="5" t="s">
        <v>589</v>
      </c>
      <c r="D268" s="5" t="s">
        <v>592</v>
      </c>
      <c r="E268" s="5" t="s">
        <v>593</v>
      </c>
      <c r="F268" s="6">
        <v>72</v>
      </c>
      <c r="G268" s="6">
        <v>89</v>
      </c>
      <c r="H268" s="7">
        <f>IF(F268&gt;0,G268/F268,"n/a")</f>
        <v>1.236</v>
      </c>
      <c r="I268" s="6">
        <v>0</v>
      </c>
      <c r="J268" s="5" t="s">
        <v>26</v>
      </c>
      <c r="K268" s="6">
        <v>47</v>
      </c>
      <c r="L268" s="6">
        <v>45</v>
      </c>
      <c r="M268" s="7">
        <f>IF(K268&gt;0,L268/K268,"n/a")</f>
        <v>0.9570000000000001</v>
      </c>
      <c r="N268" s="8">
        <f>IF(AND(F268&gt;0,K268&gt;0),(H268-M268)*100,"n/a")</f>
        <v>27.9</v>
      </c>
      <c r="O268" s="5" t="s">
        <v>20</v>
      </c>
    </row>
    <row r="269" spans="1:15">
      <c r="A269" s="5" t="s">
        <v>587</v>
      </c>
      <c r="B269" s="5" t="s">
        <v>588</v>
      </c>
      <c r="C269" s="5" t="s">
        <v>589</v>
      </c>
      <c r="D269" s="5" t="s">
        <v>594</v>
      </c>
      <c r="E269" s="5" t="s">
        <v>595</v>
      </c>
      <c r="F269" s="6">
        <v>53</v>
      </c>
      <c r="G269" s="6">
        <v>53</v>
      </c>
      <c r="H269" s="7">
        <f>IF(F269&gt;0,G269/F269,"n/a")</f>
        <v>1.0</v>
      </c>
      <c r="I269" s="6">
        <v>0</v>
      </c>
      <c r="J269" s="5" t="s">
        <v>19</v>
      </c>
      <c r="K269" s="6">
        <v>57</v>
      </c>
      <c r="L269" s="6">
        <v>58</v>
      </c>
      <c r="M269" s="7">
        <f>IF(K269&gt;0,L269/K269,"n/a")</f>
        <v>1.018</v>
      </c>
      <c r="N269" s="8">
        <f>IF(AND(F269&gt;0,K269&gt;0),(H269-M269)*100,"n/a")</f>
        <v>-1.8</v>
      </c>
      <c r="O269" s="5" t="s">
        <v>20</v>
      </c>
    </row>
    <row r="270" spans="1:15">
      <c r="A270" s="5" t="s">
        <v>587</v>
      </c>
      <c r="B270" s="5" t="s">
        <v>588</v>
      </c>
      <c r="C270" s="5" t="s">
        <v>589</v>
      </c>
      <c r="D270" s="5" t="s">
        <v>596</v>
      </c>
      <c r="E270" s="5" t="s">
        <v>597</v>
      </c>
      <c r="F270" s="6">
        <v>47</v>
      </c>
      <c r="G270" s="6">
        <v>47</v>
      </c>
      <c r="H270" s="7">
        <f>IF(F270&gt;0,G270/F270,"n/a")</f>
        <v>1.0</v>
      </c>
      <c r="I270" s="6">
        <v>0</v>
      </c>
      <c r="J270" s="5" t="s">
        <v>19</v>
      </c>
      <c r="K270" s="6">
        <v>50</v>
      </c>
      <c r="L270" s="6">
        <v>50</v>
      </c>
      <c r="M270" s="7">
        <f>IF(K270&gt;0,L270/K270,"n/a")</f>
        <v>1.0</v>
      </c>
      <c r="N270" s="8">
        <f>IF(AND(F270&gt;0,K270&gt;0),(H270-M270)*100,"n/a")</f>
        <v>0.0</v>
      </c>
      <c r="O270" s="5" t="s">
        <v>20</v>
      </c>
    </row>
    <row r="271" spans="1:15">
      <c r="A271" s="5" t="s">
        <v>587</v>
      </c>
      <c r="B271" s="5" t="s">
        <v>588</v>
      </c>
      <c r="C271" s="5" t="s">
        <v>589</v>
      </c>
      <c r="D271" s="5" t="s">
        <v>598</v>
      </c>
      <c r="E271" s="5" t="s">
        <v>599</v>
      </c>
      <c r="F271" s="6">
        <v>62</v>
      </c>
      <c r="G271" s="6">
        <v>62</v>
      </c>
      <c r="H271" s="7">
        <f>IF(F271&gt;0,G271/F271,"n/a")</f>
        <v>1.0</v>
      </c>
      <c r="I271" s="6">
        <v>0</v>
      </c>
      <c r="J271" s="5" t="s">
        <v>19</v>
      </c>
      <c r="K271" s="6">
        <v>26</v>
      </c>
      <c r="L271" s="6">
        <v>26</v>
      </c>
      <c r="M271" s="7">
        <f>IF(K271&gt;0,L271/K271,"n/a")</f>
        <v>1.0</v>
      </c>
      <c r="N271" s="8">
        <f>IF(AND(F271&gt;0,K271&gt;0),(H271-M271)*100,"n/a")</f>
        <v>0.0</v>
      </c>
      <c r="O271" s="5" t="s">
        <v>20</v>
      </c>
    </row>
    <row r="272" spans="1:15">
      <c r="A272" s="5" t="s">
        <v>587</v>
      </c>
      <c r="B272" s="5" t="s">
        <v>588</v>
      </c>
      <c r="C272" s="5" t="s">
        <v>589</v>
      </c>
      <c r="D272" s="5" t="s">
        <v>600</v>
      </c>
      <c r="E272" s="5" t="s">
        <v>601</v>
      </c>
      <c r="F272" s="6">
        <v>27</v>
      </c>
      <c r="G272" s="6">
        <v>26</v>
      </c>
      <c r="H272" s="7">
        <f>IF(F272&gt;0,G272/F272,"n/a")</f>
        <v>0.963</v>
      </c>
      <c r="I272" s="6">
        <v>0</v>
      </c>
      <c r="J272" s="5" t="s">
        <v>19</v>
      </c>
      <c r="K272" s="6">
        <v>30</v>
      </c>
      <c r="L272" s="6">
        <v>27</v>
      </c>
      <c r="M272" s="7">
        <f>IF(K272&gt;0,L272/K272,"n/a")</f>
        <v>0.9</v>
      </c>
      <c r="N272" s="8">
        <f>IF(AND(F272&gt;0,K272&gt;0),(H272-M272)*100,"n/a")</f>
        <v>6.3</v>
      </c>
      <c r="O272" s="5" t="s">
        <v>20</v>
      </c>
    </row>
    <row r="273" spans="1:15">
      <c r="A273" s="5" t="s">
        <v>587</v>
      </c>
      <c r="B273" s="5" t="s">
        <v>588</v>
      </c>
      <c r="C273" s="5" t="s">
        <v>589</v>
      </c>
      <c r="D273" s="5" t="s">
        <v>602</v>
      </c>
      <c r="E273" s="5" t="s">
        <v>603</v>
      </c>
      <c r="F273" s="6">
        <v>27</v>
      </c>
      <c r="G273" s="6">
        <v>27</v>
      </c>
      <c r="H273" s="7">
        <f>IF(F273&gt;0,G273/F273,"n/a")</f>
        <v>1.0</v>
      </c>
      <c r="I273" s="6">
        <v>0</v>
      </c>
      <c r="J273" s="5" t="s">
        <v>19</v>
      </c>
      <c r="K273" s="6">
        <v>30</v>
      </c>
      <c r="L273" s="6">
        <v>30</v>
      </c>
      <c r="M273" s="7">
        <f>IF(K273&gt;0,L273/K273,"n/a")</f>
        <v>1.0</v>
      </c>
      <c r="N273" s="8">
        <f>IF(AND(F273&gt;0,K273&gt;0),(H273-M273)*100,"n/a")</f>
        <v>0.0</v>
      </c>
      <c r="O273" s="5" t="s">
        <v>20</v>
      </c>
    </row>
    <row r="274" spans="1:15">
      <c r="A274" s="5" t="s">
        <v>587</v>
      </c>
      <c r="B274" s="5" t="s">
        <v>588</v>
      </c>
      <c r="C274" s="5" t="s">
        <v>589</v>
      </c>
      <c r="D274" s="5" t="s">
        <v>604</v>
      </c>
      <c r="E274" s="5" t="s">
        <v>605</v>
      </c>
      <c r="F274" s="6">
        <v>24</v>
      </c>
      <c r="G274" s="6">
        <v>24</v>
      </c>
      <c r="H274" s="7">
        <f>IF(F274&gt;0,G274/F274,"n/a")</f>
        <v>1.0</v>
      </c>
      <c r="I274" s="6">
        <v>0</v>
      </c>
      <c r="J274" s="5" t="s">
        <v>19</v>
      </c>
      <c r="K274" s="6">
        <v>24</v>
      </c>
      <c r="L274" s="6">
        <v>24</v>
      </c>
      <c r="M274" s="7">
        <f>IF(K274&gt;0,L274/K274,"n/a")</f>
        <v>1.0</v>
      </c>
      <c r="N274" s="8">
        <f>IF(AND(F274&gt;0,K274&gt;0),(H274-M274)*100,"n/a")</f>
        <v>0.0</v>
      </c>
      <c r="O274" s="5" t="s">
        <v>20</v>
      </c>
    </row>
    <row r="275" spans="1:15">
      <c r="A275" s="5" t="s">
        <v>587</v>
      </c>
      <c r="B275" s="5" t="s">
        <v>588</v>
      </c>
      <c r="C275" s="5" t="s">
        <v>589</v>
      </c>
      <c r="D275" s="5" t="s">
        <v>606</v>
      </c>
      <c r="E275" s="5" t="s">
        <v>607</v>
      </c>
      <c r="F275" s="6">
        <v>152</v>
      </c>
      <c r="G275" s="6">
        <v>153</v>
      </c>
      <c r="H275" s="7">
        <f>IF(F275&gt;0,G275/F275,"n/a")</f>
        <v>1.0070000000000001</v>
      </c>
      <c r="I275" s="6">
        <v>0</v>
      </c>
      <c r="J275" s="5" t="s">
        <v>19</v>
      </c>
      <c r="K275" s="6">
        <v>79</v>
      </c>
      <c r="L275" s="6">
        <v>79</v>
      </c>
      <c r="M275" s="7">
        <f>IF(K275&gt;0,L275/K275,"n/a")</f>
        <v>1.0</v>
      </c>
      <c r="N275" s="8">
        <f>IF(AND(F275&gt;0,K275&gt;0),(H275-M275)*100,"n/a")</f>
        <v>0.7</v>
      </c>
      <c r="O275" s="5" t="s">
        <v>20</v>
      </c>
    </row>
    <row r="276" spans="1:15">
      <c r="A276" s="5" t="s">
        <v>587</v>
      </c>
      <c r="B276" s="5" t="s">
        <v>588</v>
      </c>
      <c r="C276" s="5" t="s">
        <v>589</v>
      </c>
      <c r="D276" s="5" t="s">
        <v>608</v>
      </c>
      <c r="E276" s="5" t="s">
        <v>609</v>
      </c>
      <c r="F276" s="6">
        <v>34</v>
      </c>
      <c r="G276" s="6">
        <v>34</v>
      </c>
      <c r="H276" s="7">
        <f>IF(F276&gt;0,G276/F276,"n/a")</f>
        <v>1.0</v>
      </c>
      <c r="I276" s="6">
        <v>0</v>
      </c>
      <c r="J276" s="5" t="s">
        <v>19</v>
      </c>
      <c r="K276" s="6">
        <v>11</v>
      </c>
      <c r="L276" s="6">
        <v>11</v>
      </c>
      <c r="M276" s="7">
        <f>IF(K276&gt;0,L276/K276,"n/a")</f>
        <v>1.0</v>
      </c>
      <c r="N276" s="8">
        <f>IF(AND(F276&gt;0,K276&gt;0),(H276-M276)*100,"n/a")</f>
        <v>0.0</v>
      </c>
      <c r="O276" s="5" t="s">
        <v>20</v>
      </c>
    </row>
    <row r="277" spans="1:15">
      <c r="A277" s="5" t="s">
        <v>587</v>
      </c>
      <c r="B277" s="5" t="s">
        <v>588</v>
      </c>
      <c r="C277" s="5" t="s">
        <v>589</v>
      </c>
      <c r="D277" s="5" t="s">
        <v>610</v>
      </c>
      <c r="E277" s="5" t="s">
        <v>611</v>
      </c>
      <c r="F277" s="6">
        <v>30</v>
      </c>
      <c r="G277" s="6">
        <v>33</v>
      </c>
      <c r="H277" s="7">
        <f>IF(F277&gt;0,G277/F277,"n/a")</f>
        <v>1.1</v>
      </c>
      <c r="I277" s="6">
        <v>0</v>
      </c>
      <c r="J277" s="5" t="s">
        <v>26</v>
      </c>
      <c r="K277" s="6">
        <v>21</v>
      </c>
      <c r="L277" s="6">
        <v>21</v>
      </c>
      <c r="M277" s="7">
        <f>IF(K277&gt;0,L277/K277,"n/a")</f>
        <v>1.0</v>
      </c>
      <c r="N277" s="8">
        <f>IF(AND(F277&gt;0,K277&gt;0),(H277-M277)*100,"n/a")</f>
        <v>10.0</v>
      </c>
      <c r="O277" s="5" t="s">
        <v>20</v>
      </c>
    </row>
    <row r="278" spans="1:15">
      <c r="A278" s="5" t="s">
        <v>587</v>
      </c>
      <c r="B278" s="5" t="s">
        <v>588</v>
      </c>
      <c r="C278" s="5" t="s">
        <v>589</v>
      </c>
      <c r="D278" s="5" t="s">
        <v>612</v>
      </c>
      <c r="E278" s="5" t="s">
        <v>613</v>
      </c>
      <c r="F278" s="6">
        <v>78</v>
      </c>
      <c r="G278" s="6">
        <v>71</v>
      </c>
      <c r="H278" s="7">
        <f>IF(F278&gt;0,G278/F278,"n/a")</f>
        <v>0.91</v>
      </c>
      <c r="I278" s="6">
        <v>0</v>
      </c>
      <c r="J278" s="5" t="s">
        <v>19</v>
      </c>
      <c r="K278" s="6">
        <v>43</v>
      </c>
      <c r="L278" s="6">
        <v>43</v>
      </c>
      <c r="M278" s="7">
        <f>IF(K278&gt;0,L278/K278,"n/a")</f>
        <v>1.0</v>
      </c>
      <c r="N278" s="8">
        <f>IF(AND(F278&gt;0,K278&gt;0),(H278-M278)*100,"n/a")</f>
        <v>-9.0</v>
      </c>
      <c r="O278" s="5" t="s">
        <v>20</v>
      </c>
    </row>
    <row r="279" spans="1:15">
      <c r="A279" s="5" t="s">
        <v>587</v>
      </c>
      <c r="B279" s="5" t="s">
        <v>588</v>
      </c>
      <c r="C279" s="5" t="s">
        <v>589</v>
      </c>
      <c r="D279" s="5" t="s">
        <v>614</v>
      </c>
      <c r="E279" s="5" t="s">
        <v>615</v>
      </c>
      <c r="F279" s="6">
        <v>43</v>
      </c>
      <c r="G279" s="6">
        <v>43</v>
      </c>
      <c r="H279" s="7">
        <f>IF(F279&gt;0,G279/F279,"n/a")</f>
        <v>1.0</v>
      </c>
      <c r="I279" s="6">
        <v>0</v>
      </c>
      <c r="J279" s="5" t="s">
        <v>19</v>
      </c>
      <c r="K279" s="6">
        <v>39</v>
      </c>
      <c r="L279" s="6">
        <v>39</v>
      </c>
      <c r="M279" s="7">
        <f>IF(K279&gt;0,L279/K279,"n/a")</f>
        <v>1.0</v>
      </c>
      <c r="N279" s="8">
        <f>IF(AND(F279&gt;0,K279&gt;0),(H279-M279)*100,"n/a")</f>
        <v>0.0</v>
      </c>
      <c r="O279" s="5" t="s">
        <v>20</v>
      </c>
    </row>
    <row r="280" spans="1:15">
      <c r="A280" s="5" t="s">
        <v>587</v>
      </c>
      <c r="B280" s="5" t="s">
        <v>588</v>
      </c>
      <c r="C280" s="5" t="s">
        <v>589</v>
      </c>
      <c r="D280" s="5" t="s">
        <v>616</v>
      </c>
      <c r="E280" s="5" t="s">
        <v>617</v>
      </c>
      <c r="F280" s="6">
        <v>21</v>
      </c>
      <c r="G280" s="6">
        <v>21</v>
      </c>
      <c r="H280" s="7">
        <f>IF(F280&gt;0,G280/F280,"n/a")</f>
        <v>1.0</v>
      </c>
      <c r="I280" s="6">
        <v>0</v>
      </c>
      <c r="J280" s="5" t="s">
        <v>19</v>
      </c>
      <c r="K280" s="6">
        <v>9</v>
      </c>
      <c r="L280" s="6">
        <v>9</v>
      </c>
      <c r="M280" s="7">
        <f>IF(K280&gt;0,L280/K280,"n/a")</f>
        <v>1.0</v>
      </c>
      <c r="N280" s="8">
        <f>IF(AND(F280&gt;0,K280&gt;0),(H280-M280)*100,"n/a")</f>
        <v>0.0</v>
      </c>
      <c r="O280" s="5" t="s">
        <v>20</v>
      </c>
    </row>
    <row r="281" spans="1:15">
      <c r="A281" s="5" t="s">
        <v>587</v>
      </c>
      <c r="B281" s="5" t="s">
        <v>588</v>
      </c>
      <c r="C281" s="5" t="s">
        <v>589</v>
      </c>
      <c r="D281" s="5" t="s">
        <v>618</v>
      </c>
      <c r="E281" s="5" t="s">
        <v>619</v>
      </c>
      <c r="F281" s="6">
        <v>25</v>
      </c>
      <c r="G281" s="6">
        <v>25</v>
      </c>
      <c r="H281" s="7">
        <f>IF(F281&gt;0,G281/F281,"n/a")</f>
        <v>1.0</v>
      </c>
      <c r="I281" s="6">
        <v>0</v>
      </c>
      <c r="J281" s="5" t="s">
        <v>19</v>
      </c>
      <c r="K281" s="6">
        <v>17</v>
      </c>
      <c r="L281" s="6">
        <v>17</v>
      </c>
      <c r="M281" s="7">
        <f>IF(K281&gt;0,L281/K281,"n/a")</f>
        <v>1.0</v>
      </c>
      <c r="N281" s="8">
        <f>IF(AND(F281&gt;0,K281&gt;0),(H281-M281)*100,"n/a")</f>
        <v>0.0</v>
      </c>
      <c r="O281" s="5" t="s">
        <v>20</v>
      </c>
    </row>
    <row r="282" spans="1:15">
      <c r="A282" s="5" t="s">
        <v>587</v>
      </c>
      <c r="B282" s="5" t="s">
        <v>588</v>
      </c>
      <c r="C282" s="5" t="s">
        <v>589</v>
      </c>
      <c r="D282" s="5" t="s">
        <v>620</v>
      </c>
      <c r="E282" s="5" t="s">
        <v>621</v>
      </c>
      <c r="F282" s="6">
        <v>17</v>
      </c>
      <c r="G282" s="6">
        <v>17</v>
      </c>
      <c r="H282" s="7">
        <f>IF(F282&gt;0,G282/F282,"n/a")</f>
        <v>1.0</v>
      </c>
      <c r="I282" s="6">
        <v>0</v>
      </c>
      <c r="J282" s="5" t="s">
        <v>19</v>
      </c>
      <c r="K282" s="6">
        <v>12</v>
      </c>
      <c r="L282" s="6">
        <v>12</v>
      </c>
      <c r="M282" s="7">
        <f>IF(K282&gt;0,L282/K282,"n/a")</f>
        <v>1.0</v>
      </c>
      <c r="N282" s="8">
        <f>IF(AND(F282&gt;0,K282&gt;0),(H282-M282)*100,"n/a")</f>
        <v>0.0</v>
      </c>
      <c r="O282" s="5" t="s">
        <v>20</v>
      </c>
    </row>
    <row r="283" spans="1:15">
      <c r="A283" s="5" t="s">
        <v>587</v>
      </c>
      <c r="B283" s="5" t="s">
        <v>588</v>
      </c>
      <c r="C283" s="5" t="s">
        <v>622</v>
      </c>
      <c r="D283" s="5" t="s">
        <v>623</v>
      </c>
      <c r="E283" s="5" t="s">
        <v>624</v>
      </c>
      <c r="F283" s="6">
        <v>24</v>
      </c>
      <c r="G283" s="6">
        <v>26</v>
      </c>
      <c r="H283" s="7">
        <f>IF(F283&gt;0,G283/F283,"n/a")</f>
        <v>1.083</v>
      </c>
      <c r="I283" s="6">
        <v>0</v>
      </c>
      <c r="J283" s="5" t="s">
        <v>19</v>
      </c>
      <c r="K283" s="6">
        <v>14</v>
      </c>
      <c r="L283" s="6">
        <v>14</v>
      </c>
      <c r="M283" s="7">
        <f>IF(K283&gt;0,L283/K283,"n/a")</f>
        <v>1.0</v>
      </c>
      <c r="N283" s="8">
        <f>IF(AND(F283&gt;0,K283&gt;0),(H283-M283)*100,"n/a")</f>
        <v>8.3</v>
      </c>
      <c r="O283" s="5" t="s">
        <v>20</v>
      </c>
    </row>
    <row r="284" spans="1:15">
      <c r="A284" s="5" t="s">
        <v>587</v>
      </c>
      <c r="B284" s="5" t="s">
        <v>588</v>
      </c>
      <c r="C284" s="5" t="s">
        <v>622</v>
      </c>
      <c r="D284" s="5" t="s">
        <v>625</v>
      </c>
      <c r="E284" s="5" t="s">
        <v>626</v>
      </c>
      <c r="F284" s="6">
        <v>4</v>
      </c>
      <c r="G284" s="6">
        <v>4</v>
      </c>
      <c r="H284" s="7">
        <f>IF(F284&gt;0,G284/F284,"n/a")</f>
        <v>1.0</v>
      </c>
      <c r="I284" s="6">
        <v>0</v>
      </c>
      <c r="J284" s="5" t="s">
        <v>19</v>
      </c>
      <c r="K284" s="6">
        <v>14</v>
      </c>
      <c r="L284" s="6">
        <v>12</v>
      </c>
      <c r="M284" s="7">
        <f>IF(K284&gt;0,L284/K284,"n/a")</f>
        <v>0.857</v>
      </c>
      <c r="N284" s="8">
        <f>IF(AND(F284&gt;0,K284&gt;0),(H284-M284)*100,"n/a")</f>
        <v>14.3</v>
      </c>
      <c r="O284" s="5" t="s">
        <v>20</v>
      </c>
    </row>
    <row r="285" spans="1:15">
      <c r="A285" s="5" t="s">
        <v>587</v>
      </c>
      <c r="B285" s="5" t="s">
        <v>588</v>
      </c>
      <c r="C285" s="5" t="s">
        <v>622</v>
      </c>
      <c r="D285" s="5" t="s">
        <v>627</v>
      </c>
      <c r="E285" s="5" t="s">
        <v>628</v>
      </c>
      <c r="F285" s="6">
        <v>22</v>
      </c>
      <c r="G285" s="6">
        <v>22</v>
      </c>
      <c r="H285" s="7">
        <f>IF(F285&gt;0,G285/F285,"n/a")</f>
        <v>1.0</v>
      </c>
      <c r="I285" s="6">
        <v>0</v>
      </c>
      <c r="J285" s="5" t="s">
        <v>19</v>
      </c>
      <c r="K285" s="6">
        <v>1</v>
      </c>
      <c r="L285" s="6">
        <v>1</v>
      </c>
      <c r="M285" s="7">
        <f>IF(K285&gt;0,L285/K285,"n/a")</f>
        <v>1.0</v>
      </c>
      <c r="N285" s="8">
        <f>IF(AND(F285&gt;0,K285&gt;0),(H285-M285)*100,"n/a")</f>
        <v>0.0</v>
      </c>
      <c r="O285" s="5" t="s">
        <v>20</v>
      </c>
    </row>
    <row r="286" spans="1:15">
      <c r="A286" s="5" t="s">
        <v>587</v>
      </c>
      <c r="B286" s="5" t="s">
        <v>588</v>
      </c>
      <c r="C286" s="5" t="s">
        <v>622</v>
      </c>
      <c r="D286" s="5" t="s">
        <v>629</v>
      </c>
      <c r="E286" s="5" t="s">
        <v>630</v>
      </c>
      <c r="F286" s="6">
        <v>25</v>
      </c>
      <c r="G286" s="6">
        <v>26</v>
      </c>
      <c r="H286" s="7">
        <f>IF(F286&gt;0,G286/F286,"n/a")</f>
        <v>1.04</v>
      </c>
      <c r="I286" s="6">
        <v>0</v>
      </c>
      <c r="J286" s="5" t="s">
        <v>19</v>
      </c>
      <c r="K286" s="6">
        <v>12</v>
      </c>
      <c r="L286" s="6">
        <v>12</v>
      </c>
      <c r="M286" s="7">
        <f>IF(K286&gt;0,L286/K286,"n/a")</f>
        <v>1.0</v>
      </c>
      <c r="N286" s="8">
        <f>IF(AND(F286&gt;0,K286&gt;0),(H286-M286)*100,"n/a")</f>
        <v>4.0</v>
      </c>
      <c r="O286" s="5" t="s">
        <v>20</v>
      </c>
    </row>
    <row r="287" spans="1:15">
      <c r="A287" s="5" t="s">
        <v>587</v>
      </c>
      <c r="B287" s="5" t="s">
        <v>588</v>
      </c>
      <c r="C287" s="5" t="s">
        <v>622</v>
      </c>
      <c r="D287" s="5" t="s">
        <v>631</v>
      </c>
      <c r="E287" s="5" t="s">
        <v>632</v>
      </c>
      <c r="F287" s="6">
        <v>32</v>
      </c>
      <c r="G287" s="6">
        <v>32</v>
      </c>
      <c r="H287" s="7">
        <f>IF(F287&gt;0,G287/F287,"n/a")</f>
        <v>1.0</v>
      </c>
      <c r="I287" s="6">
        <v>0</v>
      </c>
      <c r="J287" s="5" t="s">
        <v>19</v>
      </c>
      <c r="K287" s="6">
        <v>22</v>
      </c>
      <c r="L287" s="6">
        <v>22</v>
      </c>
      <c r="M287" s="7">
        <f>IF(K287&gt;0,L287/K287,"n/a")</f>
        <v>1.0</v>
      </c>
      <c r="N287" s="8">
        <f>IF(AND(F287&gt;0,K287&gt;0),(H287-M287)*100,"n/a")</f>
        <v>0.0</v>
      </c>
      <c r="O287" s="5" t="s">
        <v>20</v>
      </c>
    </row>
    <row r="288" spans="1:15">
      <c r="A288" s="5" t="s">
        <v>587</v>
      </c>
      <c r="B288" s="5" t="s">
        <v>588</v>
      </c>
      <c r="C288" s="5" t="s">
        <v>622</v>
      </c>
      <c r="D288" s="5" t="s">
        <v>633</v>
      </c>
      <c r="E288" s="5" t="s">
        <v>634</v>
      </c>
      <c r="F288" s="6">
        <v>42</v>
      </c>
      <c r="G288" s="6">
        <v>42</v>
      </c>
      <c r="H288" s="7">
        <f>IF(F288&gt;0,G288/F288,"n/a")</f>
        <v>1.0</v>
      </c>
      <c r="I288" s="6">
        <v>0</v>
      </c>
      <c r="J288" s="5" t="s">
        <v>19</v>
      </c>
      <c r="K288" s="6">
        <v>36</v>
      </c>
      <c r="L288" s="6">
        <v>36</v>
      </c>
      <c r="M288" s="7">
        <f>IF(K288&gt;0,L288/K288,"n/a")</f>
        <v>1.0</v>
      </c>
      <c r="N288" s="8">
        <f>IF(AND(F288&gt;0,K288&gt;0),(H288-M288)*100,"n/a")</f>
        <v>0.0</v>
      </c>
      <c r="O288" s="5" t="s">
        <v>20</v>
      </c>
    </row>
    <row r="289" spans="1:15">
      <c r="A289" s="5" t="s">
        <v>587</v>
      </c>
      <c r="B289" s="5" t="s">
        <v>588</v>
      </c>
      <c r="C289" s="5" t="s">
        <v>622</v>
      </c>
      <c r="D289" s="5" t="s">
        <v>635</v>
      </c>
      <c r="E289" s="5" t="s">
        <v>636</v>
      </c>
      <c r="F289" s="6">
        <v>31</v>
      </c>
      <c r="G289" s="6">
        <v>31</v>
      </c>
      <c r="H289" s="7">
        <f>IF(F289&gt;0,G289/F289,"n/a")</f>
        <v>1.0</v>
      </c>
      <c r="I289" s="6">
        <v>0</v>
      </c>
      <c r="J289" s="5" t="s">
        <v>19</v>
      </c>
      <c r="K289" s="6">
        <v>13</v>
      </c>
      <c r="L289" s="6">
        <v>15</v>
      </c>
      <c r="M289" s="7">
        <f>IF(K289&gt;0,L289/K289,"n/a")</f>
        <v>1.1540000000000001</v>
      </c>
      <c r="N289" s="8">
        <f>IF(AND(F289&gt;0,K289&gt;0),(H289-M289)*100,"n/a")</f>
        <v>-15.4</v>
      </c>
      <c r="O289" s="5" t="s">
        <v>20</v>
      </c>
    </row>
    <row r="290" spans="1:15">
      <c r="A290" s="5" t="s">
        <v>587</v>
      </c>
      <c r="B290" s="5" t="s">
        <v>588</v>
      </c>
      <c r="C290" s="5" t="s">
        <v>622</v>
      </c>
      <c r="D290" s="5" t="s">
        <v>637</v>
      </c>
      <c r="E290" s="5" t="s">
        <v>638</v>
      </c>
      <c r="F290" s="6">
        <v>31</v>
      </c>
      <c r="G290" s="6">
        <v>26</v>
      </c>
      <c r="H290" s="7">
        <f>IF(F290&gt;0,G290/F290,"n/a")</f>
        <v>0.8390000000000001</v>
      </c>
      <c r="I290" s="6">
        <v>0</v>
      </c>
      <c r="J290" s="5" t="s">
        <v>19</v>
      </c>
      <c r="K290" s="6">
        <v>32</v>
      </c>
      <c r="L290" s="6">
        <v>32</v>
      </c>
      <c r="M290" s="7">
        <f>IF(K290&gt;0,L290/K290,"n/a")</f>
        <v>1.0</v>
      </c>
      <c r="N290" s="8">
        <f>IF(AND(F290&gt;0,K290&gt;0),(H290-M290)*100,"n/a")</f>
        <v>-16.1</v>
      </c>
      <c r="O290" s="5" t="s">
        <v>20</v>
      </c>
    </row>
    <row r="291" spans="1:15">
      <c r="A291" s="5" t="s">
        <v>587</v>
      </c>
      <c r="B291" s="5" t="s">
        <v>588</v>
      </c>
      <c r="C291" s="5" t="s">
        <v>622</v>
      </c>
      <c r="D291" s="5" t="s">
        <v>639</v>
      </c>
      <c r="E291" s="5" t="s">
        <v>640</v>
      </c>
      <c r="F291" s="6">
        <v>39</v>
      </c>
      <c r="G291" s="6">
        <v>39</v>
      </c>
      <c r="H291" s="7">
        <f>IF(F291&gt;0,G291/F291,"n/a")</f>
        <v>1.0</v>
      </c>
      <c r="I291" s="6">
        <v>0</v>
      </c>
      <c r="J291" s="5" t="s">
        <v>19</v>
      </c>
      <c r="K291" s="6">
        <v>21</v>
      </c>
      <c r="L291" s="6">
        <v>21</v>
      </c>
      <c r="M291" s="7">
        <f>IF(K291&gt;0,L291/K291,"n/a")</f>
        <v>1.0</v>
      </c>
      <c r="N291" s="8">
        <f>IF(AND(F291&gt;0,K291&gt;0),(H291-M291)*100,"n/a")</f>
        <v>0.0</v>
      </c>
      <c r="O291" s="5" t="s">
        <v>20</v>
      </c>
    </row>
    <row r="292" spans="1:15">
      <c r="A292" s="5" t="s">
        <v>587</v>
      </c>
      <c r="B292" s="5" t="s">
        <v>588</v>
      </c>
      <c r="C292" s="5" t="s">
        <v>622</v>
      </c>
      <c r="D292" s="5" t="s">
        <v>641</v>
      </c>
      <c r="E292" s="5" t="s">
        <v>642</v>
      </c>
      <c r="F292" s="6">
        <v>50</v>
      </c>
      <c r="G292" s="6">
        <v>50</v>
      </c>
      <c r="H292" s="7">
        <f>IF(F292&gt;0,G292/F292,"n/a")</f>
        <v>1.0</v>
      </c>
      <c r="I292" s="6">
        <v>0</v>
      </c>
      <c r="J292" s="5" t="s">
        <v>19</v>
      </c>
      <c r="K292" s="6">
        <v>17</v>
      </c>
      <c r="L292" s="6">
        <v>17</v>
      </c>
      <c r="M292" s="7">
        <f>IF(K292&gt;0,L292/K292,"n/a")</f>
        <v>1.0</v>
      </c>
      <c r="N292" s="8">
        <f>IF(AND(F292&gt;0,K292&gt;0),(H292-M292)*100,"n/a")</f>
        <v>0.0</v>
      </c>
      <c r="O292" s="5" t="s">
        <v>20</v>
      </c>
    </row>
    <row r="293" spans="1:15">
      <c r="A293" s="5" t="s">
        <v>587</v>
      </c>
      <c r="B293" s="5" t="s">
        <v>588</v>
      </c>
      <c r="C293" s="5" t="s">
        <v>622</v>
      </c>
      <c r="D293" s="5" t="s">
        <v>643</v>
      </c>
      <c r="E293" s="5" t="s">
        <v>644</v>
      </c>
      <c r="F293" s="6">
        <v>38</v>
      </c>
      <c r="G293" s="6">
        <v>38</v>
      </c>
      <c r="H293" s="7">
        <f>IF(F293&gt;0,G293/F293,"n/a")</f>
        <v>1.0</v>
      </c>
      <c r="I293" s="6">
        <v>0</v>
      </c>
      <c r="J293" s="5" t="s">
        <v>19</v>
      </c>
      <c r="K293" s="6">
        <v>23</v>
      </c>
      <c r="L293" s="6">
        <v>23</v>
      </c>
      <c r="M293" s="7">
        <f>IF(K293&gt;0,L293/K293,"n/a")</f>
        <v>1.0</v>
      </c>
      <c r="N293" s="8">
        <f>IF(AND(F293&gt;0,K293&gt;0),(H293-M293)*100,"n/a")</f>
        <v>0.0</v>
      </c>
      <c r="O293" s="5" t="s">
        <v>20</v>
      </c>
    </row>
    <row r="294" spans="1:15">
      <c r="A294" s="5" t="s">
        <v>587</v>
      </c>
      <c r="B294" s="5" t="s">
        <v>588</v>
      </c>
      <c r="C294" s="5" t="s">
        <v>622</v>
      </c>
      <c r="D294" s="5" t="s">
        <v>645</v>
      </c>
      <c r="E294" s="5" t="s">
        <v>646</v>
      </c>
      <c r="F294" s="6">
        <v>29</v>
      </c>
      <c r="G294" s="6">
        <v>29</v>
      </c>
      <c r="H294" s="7">
        <f>IF(F294&gt;0,G294/F294,"n/a")</f>
        <v>1.0</v>
      </c>
      <c r="I294" s="6">
        <v>0</v>
      </c>
      <c r="J294" s="5" t="s">
        <v>19</v>
      </c>
      <c r="K294" s="6">
        <v>16</v>
      </c>
      <c r="L294" s="6">
        <v>14</v>
      </c>
      <c r="M294" s="7">
        <f>IF(K294&gt;0,L294/K294,"n/a")</f>
        <v>0.875</v>
      </c>
      <c r="N294" s="8">
        <f>IF(AND(F294&gt;0,K294&gt;0),(H294-M294)*100,"n/a")</f>
        <v>12.5</v>
      </c>
      <c r="O294" s="5" t="s">
        <v>20</v>
      </c>
    </row>
    <row r="295" spans="1:15">
      <c r="A295" s="5" t="s">
        <v>587</v>
      </c>
      <c r="B295" s="5" t="s">
        <v>588</v>
      </c>
      <c r="C295" s="5" t="s">
        <v>622</v>
      </c>
      <c r="D295" s="5" t="s">
        <v>647</v>
      </c>
      <c r="E295" s="5" t="s">
        <v>648</v>
      </c>
      <c r="F295" s="6">
        <v>19</v>
      </c>
      <c r="G295" s="6">
        <v>19</v>
      </c>
      <c r="H295" s="7">
        <f>IF(F295&gt;0,G295/F295,"n/a")</f>
        <v>1.0</v>
      </c>
      <c r="I295" s="6">
        <v>0</v>
      </c>
      <c r="J295" s="5" t="s">
        <v>19</v>
      </c>
      <c r="K295" s="6">
        <v>12</v>
      </c>
      <c r="L295" s="6">
        <v>12</v>
      </c>
      <c r="M295" s="7">
        <f>IF(K295&gt;0,L295/K295,"n/a")</f>
        <v>1.0</v>
      </c>
      <c r="N295" s="8">
        <f>IF(AND(F295&gt;0,K295&gt;0),(H295-M295)*100,"n/a")</f>
        <v>0.0</v>
      </c>
      <c r="O295" s="5" t="s">
        <v>20</v>
      </c>
    </row>
    <row r="296" spans="1:15">
      <c r="A296" s="5" t="s">
        <v>587</v>
      </c>
      <c r="B296" s="5" t="s">
        <v>588</v>
      </c>
      <c r="C296" s="5" t="s">
        <v>649</v>
      </c>
      <c r="D296" s="5" t="s">
        <v>650</v>
      </c>
      <c r="E296" s="5" t="s">
        <v>651</v>
      </c>
      <c r="F296" s="6">
        <v>50</v>
      </c>
      <c r="G296" s="6">
        <v>51</v>
      </c>
      <c r="H296" s="7">
        <f>IF(F296&gt;0,G296/F296,"n/a")</f>
        <v>1.02</v>
      </c>
      <c r="I296" s="6">
        <v>0</v>
      </c>
      <c r="J296" s="5" t="s">
        <v>19</v>
      </c>
      <c r="K296" s="6">
        <v>18</v>
      </c>
      <c r="L296" s="6">
        <v>17</v>
      </c>
      <c r="M296" s="7">
        <f>IF(K296&gt;0,L296/K296,"n/a")</f>
        <v>0.9440000000000001</v>
      </c>
      <c r="N296" s="8">
        <f>IF(AND(F296&gt;0,K296&gt;0),(H296-M296)*100,"n/a")</f>
        <v>7.6</v>
      </c>
      <c r="O296" s="5" t="s">
        <v>20</v>
      </c>
    </row>
    <row r="297" spans="1:15">
      <c r="A297" s="5" t="s">
        <v>587</v>
      </c>
      <c r="B297" s="5" t="s">
        <v>588</v>
      </c>
      <c r="C297" s="5" t="s">
        <v>649</v>
      </c>
      <c r="D297" s="5" t="s">
        <v>652</v>
      </c>
      <c r="E297" s="5" t="s">
        <v>653</v>
      </c>
      <c r="F297" s="6">
        <v>31</v>
      </c>
      <c r="G297" s="6">
        <v>31</v>
      </c>
      <c r="H297" s="7">
        <f>IF(F297&gt;0,G297/F297,"n/a")</f>
        <v>1.0</v>
      </c>
      <c r="I297" s="6">
        <v>0</v>
      </c>
      <c r="J297" s="5" t="s">
        <v>19</v>
      </c>
      <c r="K297" s="6">
        <v>36</v>
      </c>
      <c r="L297" s="6">
        <v>27</v>
      </c>
      <c r="M297" s="7">
        <f>IF(K297&gt;0,L297/K297,"n/a")</f>
        <v>0.75</v>
      </c>
      <c r="N297" s="8">
        <f>IF(AND(F297&gt;0,K297&gt;0),(H297-M297)*100,"n/a")</f>
        <v>25.0</v>
      </c>
      <c r="O297" s="5" t="s">
        <v>23</v>
      </c>
    </row>
    <row r="298" spans="1:15">
      <c r="A298" s="5" t="s">
        <v>587</v>
      </c>
      <c r="B298" s="5" t="s">
        <v>588</v>
      </c>
      <c r="C298" s="5" t="s">
        <v>649</v>
      </c>
      <c r="D298" s="5" t="s">
        <v>654</v>
      </c>
      <c r="E298" s="5" t="s">
        <v>655</v>
      </c>
      <c r="F298" s="6">
        <v>52</v>
      </c>
      <c r="G298" s="6">
        <v>52</v>
      </c>
      <c r="H298" s="7">
        <f>IF(F298&gt;0,G298/F298,"n/a")</f>
        <v>1.0</v>
      </c>
      <c r="I298" s="6">
        <v>0</v>
      </c>
      <c r="J298" s="5" t="s">
        <v>19</v>
      </c>
      <c r="K298" s="6">
        <v>63</v>
      </c>
      <c r="L298" s="6">
        <v>63</v>
      </c>
      <c r="M298" s="7">
        <f>IF(K298&gt;0,L298/K298,"n/a")</f>
        <v>1.0</v>
      </c>
      <c r="N298" s="8">
        <f>IF(AND(F298&gt;0,K298&gt;0),(H298-M298)*100,"n/a")</f>
        <v>0.0</v>
      </c>
      <c r="O298" s="5" t="s">
        <v>20</v>
      </c>
    </row>
    <row r="299" spans="1:15">
      <c r="A299" s="5" t="s">
        <v>587</v>
      </c>
      <c r="B299" s="5" t="s">
        <v>588</v>
      </c>
      <c r="C299" s="5" t="s">
        <v>649</v>
      </c>
      <c r="D299" s="5" t="s">
        <v>656</v>
      </c>
      <c r="E299" s="5" t="s">
        <v>657</v>
      </c>
      <c r="F299" s="6">
        <v>65</v>
      </c>
      <c r="G299" s="6">
        <v>46</v>
      </c>
      <c r="H299" s="7">
        <f>IF(F299&gt;0,G299/F299,"n/a")</f>
        <v>0.708</v>
      </c>
      <c r="I299" s="6">
        <v>0</v>
      </c>
      <c r="J299" s="5" t="s">
        <v>45</v>
      </c>
      <c r="K299" s="6">
        <v>38</v>
      </c>
      <c r="L299" s="6">
        <v>39</v>
      </c>
      <c r="M299" s="7">
        <f>IF(K299&gt;0,L299/K299,"n/a")</f>
        <v>1.026</v>
      </c>
      <c r="N299" s="8">
        <f>IF(AND(F299&gt;0,K299&gt;0),(H299-M299)*100,"n/a")</f>
        <v>-31.9</v>
      </c>
      <c r="O299" s="5" t="s">
        <v>68</v>
      </c>
    </row>
    <row r="300" spans="1:15">
      <c r="A300" s="5" t="s">
        <v>587</v>
      </c>
      <c r="B300" s="5" t="s">
        <v>588</v>
      </c>
      <c r="C300" s="5" t="s">
        <v>649</v>
      </c>
      <c r="D300" s="5" t="s">
        <v>658</v>
      </c>
      <c r="E300" s="5" t="s">
        <v>659</v>
      </c>
      <c r="F300" s="6">
        <v>60</v>
      </c>
      <c r="G300" s="6">
        <v>47</v>
      </c>
      <c r="H300" s="7">
        <f>IF(F300&gt;0,G300/F300,"n/a")</f>
        <v>0.7829999999999999</v>
      </c>
      <c r="I300" s="6">
        <v>0</v>
      </c>
      <c r="J300" s="5" t="s">
        <v>45</v>
      </c>
      <c r="K300" s="6">
        <v>48</v>
      </c>
      <c r="L300" s="6">
        <v>48</v>
      </c>
      <c r="M300" s="7">
        <f>IF(K300&gt;0,L300/K300,"n/a")</f>
        <v>1.0</v>
      </c>
      <c r="N300" s="8">
        <f>IF(AND(F300&gt;0,K300&gt;0),(H300-M300)*100,"n/a")</f>
        <v>-21.7</v>
      </c>
      <c r="O300" s="5" t="s">
        <v>68</v>
      </c>
    </row>
    <row r="301" spans="1:15">
      <c r="A301" s="5" t="s">
        <v>587</v>
      </c>
      <c r="B301" s="5" t="s">
        <v>588</v>
      </c>
      <c r="C301" s="5" t="s">
        <v>649</v>
      </c>
      <c r="D301" s="5" t="s">
        <v>660</v>
      </c>
      <c r="E301" s="5" t="s">
        <v>661</v>
      </c>
      <c r="F301" s="6">
        <v>48</v>
      </c>
      <c r="G301" s="6">
        <v>63</v>
      </c>
      <c r="H301" s="7">
        <f>IF(F301&gt;0,G301/F301,"n/a")</f>
        <v>1.3119999999999998</v>
      </c>
      <c r="I301" s="6">
        <v>0</v>
      </c>
      <c r="J301" s="5" t="s">
        <v>26</v>
      </c>
      <c r="K301" s="6">
        <v>41</v>
      </c>
      <c r="L301" s="6">
        <v>39</v>
      </c>
      <c r="M301" s="7">
        <f>IF(K301&gt;0,L301/K301,"n/a")</f>
        <v>0.951</v>
      </c>
      <c r="N301" s="8">
        <f>IF(AND(F301&gt;0,K301&gt;0),(H301-M301)*100,"n/a")</f>
        <v>36.1</v>
      </c>
      <c r="O301" s="5" t="s">
        <v>20</v>
      </c>
    </row>
    <row r="302" spans="1:15">
      <c r="A302" s="5" t="s">
        <v>587</v>
      </c>
      <c r="B302" s="5" t="s">
        <v>588</v>
      </c>
      <c r="C302" s="5" t="s">
        <v>649</v>
      </c>
      <c r="D302" s="5" t="s">
        <v>662</v>
      </c>
      <c r="E302" s="5" t="s">
        <v>663</v>
      </c>
      <c r="F302" s="6">
        <v>31</v>
      </c>
      <c r="G302" s="6">
        <v>30</v>
      </c>
      <c r="H302" s="7">
        <f>IF(F302&gt;0,G302/F302,"n/a")</f>
        <v>0.968</v>
      </c>
      <c r="I302" s="6">
        <v>0</v>
      </c>
      <c r="J302" s="5" t="s">
        <v>19</v>
      </c>
      <c r="K302" s="6">
        <v>37</v>
      </c>
      <c r="L302" s="6">
        <v>31</v>
      </c>
      <c r="M302" s="7">
        <f>IF(K302&gt;0,L302/K302,"n/a")</f>
        <v>0.838</v>
      </c>
      <c r="N302" s="8">
        <f>IF(AND(F302&gt;0,K302&gt;0),(H302-M302)*100,"n/a")</f>
        <v>13.0</v>
      </c>
      <c r="O302" s="5" t="s">
        <v>20</v>
      </c>
    </row>
    <row r="303" spans="1:15">
      <c r="A303" s="5" t="s">
        <v>587</v>
      </c>
      <c r="B303" s="5" t="s">
        <v>588</v>
      </c>
      <c r="C303" s="5" t="s">
        <v>649</v>
      </c>
      <c r="D303" s="5" t="s">
        <v>664</v>
      </c>
      <c r="E303" s="5" t="s">
        <v>665</v>
      </c>
      <c r="F303" s="6">
        <v>38</v>
      </c>
      <c r="G303" s="6">
        <v>40</v>
      </c>
      <c r="H303" s="7">
        <f>IF(F303&gt;0,G303/F303,"n/a")</f>
        <v>1.053</v>
      </c>
      <c r="I303" s="6">
        <v>0</v>
      </c>
      <c r="J303" s="5" t="s">
        <v>19</v>
      </c>
      <c r="K303" s="6">
        <v>46</v>
      </c>
      <c r="L303" s="6">
        <v>32</v>
      </c>
      <c r="M303" s="7">
        <f>IF(K303&gt;0,L303/K303,"n/a")</f>
        <v>0.696</v>
      </c>
      <c r="N303" s="8">
        <f>IF(AND(F303&gt;0,K303&gt;0),(H303-M303)*100,"n/a")</f>
        <v>35.7</v>
      </c>
      <c r="O303" s="5" t="s">
        <v>23</v>
      </c>
    </row>
    <row r="304" spans="1:15">
      <c r="A304" s="5" t="s">
        <v>587</v>
      </c>
      <c r="B304" s="5" t="s">
        <v>588</v>
      </c>
      <c r="C304" s="5" t="s">
        <v>649</v>
      </c>
      <c r="D304" s="5" t="s">
        <v>666</v>
      </c>
      <c r="E304" s="5" t="s">
        <v>667</v>
      </c>
      <c r="F304" s="6">
        <v>19</v>
      </c>
      <c r="G304" s="6">
        <v>19</v>
      </c>
      <c r="H304" s="7">
        <f>IF(F304&gt;0,G304/F304,"n/a")</f>
        <v>1.0</v>
      </c>
      <c r="I304" s="6">
        <v>0</v>
      </c>
      <c r="J304" s="5" t="s">
        <v>19</v>
      </c>
      <c r="K304" s="6">
        <v>25</v>
      </c>
      <c r="L304" s="6">
        <v>25</v>
      </c>
      <c r="M304" s="7">
        <f>IF(K304&gt;0,L304/K304,"n/a")</f>
        <v>1.0</v>
      </c>
      <c r="N304" s="8">
        <f>IF(AND(F304&gt;0,K304&gt;0),(H304-M304)*100,"n/a")</f>
        <v>0.0</v>
      </c>
      <c r="O304" s="5" t="s">
        <v>20</v>
      </c>
    </row>
    <row r="305" spans="1:15">
      <c r="A305" s="5" t="s">
        <v>587</v>
      </c>
      <c r="B305" s="5" t="s">
        <v>588</v>
      </c>
      <c r="C305" s="5" t="s">
        <v>649</v>
      </c>
      <c r="D305" s="5" t="s">
        <v>668</v>
      </c>
      <c r="E305" s="5" t="s">
        <v>669</v>
      </c>
      <c r="F305" s="6">
        <v>14</v>
      </c>
      <c r="G305" s="6">
        <v>14</v>
      </c>
      <c r="H305" s="7">
        <f>IF(F305&gt;0,G305/F305,"n/a")</f>
        <v>1.0</v>
      </c>
      <c r="I305" s="6">
        <v>0</v>
      </c>
      <c r="J305" s="5" t="s">
        <v>19</v>
      </c>
      <c r="K305" s="6">
        <v>13</v>
      </c>
      <c r="L305" s="6">
        <v>13</v>
      </c>
      <c r="M305" s="7">
        <f>IF(K305&gt;0,L305/K305,"n/a")</f>
        <v>1.0</v>
      </c>
      <c r="N305" s="8">
        <f>IF(AND(F305&gt;0,K305&gt;0),(H305-M305)*100,"n/a")</f>
        <v>0.0</v>
      </c>
      <c r="O305" s="5" t="s">
        <v>20</v>
      </c>
    </row>
    <row r="306" spans="1:15">
      <c r="A306" s="5" t="s">
        <v>587</v>
      </c>
      <c r="B306" s="5" t="s">
        <v>588</v>
      </c>
      <c r="C306" s="5" t="s">
        <v>649</v>
      </c>
      <c r="D306" s="5" t="s">
        <v>670</v>
      </c>
      <c r="E306" s="5" t="s">
        <v>671</v>
      </c>
      <c r="F306" s="6">
        <v>42</v>
      </c>
      <c r="G306" s="6">
        <v>43</v>
      </c>
      <c r="H306" s="7">
        <f>IF(F306&gt;0,G306/F306,"n/a")</f>
        <v>1.024</v>
      </c>
      <c r="I306" s="6">
        <v>0</v>
      </c>
      <c r="J306" s="5" t="s">
        <v>19</v>
      </c>
      <c r="K306" s="6">
        <v>51</v>
      </c>
      <c r="L306" s="6">
        <v>51</v>
      </c>
      <c r="M306" s="7">
        <f>IF(K306&gt;0,L306/K306,"n/a")</f>
        <v>1.0</v>
      </c>
      <c r="N306" s="8">
        <f>IF(AND(F306&gt;0,K306&gt;0),(H306-M306)*100,"n/a")</f>
        <v>2.4</v>
      </c>
      <c r="O306" s="5" t="s">
        <v>20</v>
      </c>
    </row>
    <row r="307" spans="1:15">
      <c r="A307" s="5" t="s">
        <v>587</v>
      </c>
      <c r="B307" s="5" t="s">
        <v>588</v>
      </c>
      <c r="C307" s="5" t="s">
        <v>649</v>
      </c>
      <c r="D307" s="5" t="s">
        <v>672</v>
      </c>
      <c r="E307" s="5" t="s">
        <v>673</v>
      </c>
      <c r="F307" s="6">
        <v>75</v>
      </c>
      <c r="G307" s="6">
        <v>75</v>
      </c>
      <c r="H307" s="7">
        <f>IF(F307&gt;0,G307/F307,"n/a")</f>
        <v>1.0</v>
      </c>
      <c r="I307" s="6">
        <v>0</v>
      </c>
      <c r="J307" s="5" t="s">
        <v>19</v>
      </c>
      <c r="K307" s="6">
        <v>58</v>
      </c>
      <c r="L307" s="6">
        <v>58</v>
      </c>
      <c r="M307" s="7">
        <f>IF(K307&gt;0,L307/K307,"n/a")</f>
        <v>1.0</v>
      </c>
      <c r="N307" s="8">
        <f>IF(AND(F307&gt;0,K307&gt;0),(H307-M307)*100,"n/a")</f>
        <v>0.0</v>
      </c>
      <c r="O307" s="5" t="s">
        <v>20</v>
      </c>
    </row>
    <row r="308" spans="1:15">
      <c r="A308" s="5" t="s">
        <v>587</v>
      </c>
      <c r="B308" s="5" t="s">
        <v>588</v>
      </c>
      <c r="C308" s="5" t="s">
        <v>649</v>
      </c>
      <c r="D308" s="5" t="s">
        <v>674</v>
      </c>
      <c r="E308" s="5" t="s">
        <v>675</v>
      </c>
      <c r="F308" s="6">
        <v>62</v>
      </c>
      <c r="G308" s="6">
        <v>62</v>
      </c>
      <c r="H308" s="7">
        <f>IF(F308&gt;0,G308/F308,"n/a")</f>
        <v>1.0</v>
      </c>
      <c r="I308" s="6">
        <v>0</v>
      </c>
      <c r="J308" s="5" t="s">
        <v>19</v>
      </c>
      <c r="K308" s="6">
        <v>87</v>
      </c>
      <c r="L308" s="6">
        <v>29</v>
      </c>
      <c r="M308" s="7">
        <f>IF(K308&gt;0,L308/K308,"n/a")</f>
        <v>0.33299999999999996</v>
      </c>
      <c r="N308" s="8">
        <f>IF(AND(F308&gt;0,K308&gt;0),(H308-M308)*100,"n/a")</f>
        <v>66.7</v>
      </c>
      <c r="O308" s="5" t="s">
        <v>23</v>
      </c>
    </row>
    <row r="309" spans="1:15">
      <c r="A309" s="5" t="s">
        <v>587</v>
      </c>
      <c r="B309" s="5" t="s">
        <v>588</v>
      </c>
      <c r="C309" s="5" t="s">
        <v>649</v>
      </c>
      <c r="D309" s="5" t="s">
        <v>676</v>
      </c>
      <c r="E309" s="5" t="s">
        <v>677</v>
      </c>
      <c r="F309" s="6">
        <v>73</v>
      </c>
      <c r="G309" s="6">
        <v>73</v>
      </c>
      <c r="H309" s="7">
        <f>IF(F309&gt;0,G309/F309,"n/a")</f>
        <v>1.0</v>
      </c>
      <c r="I309" s="6">
        <v>0</v>
      </c>
      <c r="J309" s="5" t="s">
        <v>19</v>
      </c>
      <c r="K309" s="6">
        <v>34</v>
      </c>
      <c r="L309" s="6">
        <v>34</v>
      </c>
      <c r="M309" s="7">
        <f>IF(K309&gt;0,L309/K309,"n/a")</f>
        <v>1.0</v>
      </c>
      <c r="N309" s="8">
        <f>IF(AND(F309&gt;0,K309&gt;0),(H309-M309)*100,"n/a")</f>
        <v>0.0</v>
      </c>
      <c r="O309" s="5" t="s">
        <v>20</v>
      </c>
    </row>
    <row r="310" spans="1:15">
      <c r="A310" s="5" t="s">
        <v>587</v>
      </c>
      <c r="B310" s="5" t="s">
        <v>588</v>
      </c>
      <c r="C310" s="5" t="s">
        <v>649</v>
      </c>
      <c r="D310" s="5" t="s">
        <v>678</v>
      </c>
      <c r="E310" s="5" t="s">
        <v>679</v>
      </c>
      <c r="F310" s="6">
        <v>13</v>
      </c>
      <c r="G310" s="6">
        <v>16</v>
      </c>
      <c r="H310" s="7">
        <f>IF(F310&gt;0,G310/F310,"n/a")</f>
        <v>1.2309999999999999</v>
      </c>
      <c r="I310" s="6">
        <v>0</v>
      </c>
      <c r="J310" s="5" t="s">
        <v>26</v>
      </c>
      <c r="K310" s="6">
        <v>7</v>
      </c>
      <c r="L310" s="6">
        <v>2</v>
      </c>
      <c r="M310" s="7">
        <f>IF(K310&gt;0,L310/K310,"n/a")</f>
        <v>0.28600000000000003</v>
      </c>
      <c r="N310" s="8">
        <f>IF(AND(F310&gt;0,K310&gt;0),(H310-M310)*100,"n/a")</f>
        <v>94.5</v>
      </c>
      <c r="O310" s="5" t="s">
        <v>23</v>
      </c>
    </row>
    <row r="311" spans="1:15">
      <c r="A311" s="5" t="s">
        <v>587</v>
      </c>
      <c r="B311" s="5" t="s">
        <v>588</v>
      </c>
      <c r="C311" s="5" t="s">
        <v>680</v>
      </c>
      <c r="D311" s="5" t="s">
        <v>681</v>
      </c>
      <c r="E311" s="5" t="s">
        <v>682</v>
      </c>
      <c r="F311" s="6">
        <v>0</v>
      </c>
      <c r="G311" s="6">
        <v>0</v>
      </c>
      <c r="H311" s="7" t="str">
        <f>IF(F311&gt;0,G311/F311,"n/a")</f>
        <v>n/a</v>
      </c>
      <c r="I311" s="6">
        <v>0</v>
      </c>
      <c r="J311" s="5" t="s">
        <v>19</v>
      </c>
      <c r="K311" s="6">
        <v>0</v>
      </c>
      <c r="L311" s="6">
        <v>0</v>
      </c>
      <c r="M311" s="7" t="str">
        <f>IF(K311&gt;0,L311/K311,"n/a")</f>
        <v>n/a</v>
      </c>
      <c r="N311" s="8" t="str">
        <f>IF(AND(F311&gt;0,K311&gt;0),(H311-M311)*100,"n/a")</f>
        <v>n/a</v>
      </c>
      <c r="O311" s="5" t="s">
        <v>100</v>
      </c>
    </row>
    <row r="312" spans="1:15">
      <c r="A312" s="5" t="s">
        <v>587</v>
      </c>
      <c r="B312" s="5" t="s">
        <v>588</v>
      </c>
      <c r="C312" s="5" t="s">
        <v>680</v>
      </c>
      <c r="D312" s="5" t="s">
        <v>683</v>
      </c>
      <c r="E312" s="5" t="s">
        <v>684</v>
      </c>
      <c r="F312" s="6">
        <v>0</v>
      </c>
      <c r="G312" s="6">
        <v>0</v>
      </c>
      <c r="H312" s="7" t="str">
        <f>IF(F312&gt;0,G312/F312,"n/a")</f>
        <v>n/a</v>
      </c>
      <c r="I312" s="6">
        <v>0</v>
      </c>
      <c r="J312" s="5" t="s">
        <v>19</v>
      </c>
      <c r="K312" s="6">
        <v>0</v>
      </c>
      <c r="L312" s="6">
        <v>0</v>
      </c>
      <c r="M312" s="7" t="str">
        <f>IF(K312&gt;0,L312/K312,"n/a")</f>
        <v>n/a</v>
      </c>
      <c r="N312" s="8" t="str">
        <f>IF(AND(F312&gt;0,K312&gt;0),(H312-M312)*100,"n/a")</f>
        <v>n/a</v>
      </c>
      <c r="O312" s="5" t="s">
        <v>100</v>
      </c>
    </row>
    <row r="313" spans="1:15">
      <c r="A313" s="5" t="s">
        <v>587</v>
      </c>
      <c r="B313" s="5" t="s">
        <v>588</v>
      </c>
      <c r="C313" s="5" t="s">
        <v>680</v>
      </c>
      <c r="D313" s="5" t="s">
        <v>685</v>
      </c>
      <c r="E313" s="5" t="s">
        <v>686</v>
      </c>
      <c r="F313" s="6">
        <v>12</v>
      </c>
      <c r="G313" s="6">
        <v>12</v>
      </c>
      <c r="H313" s="7">
        <f>IF(F313&gt;0,G313/F313,"n/a")</f>
        <v>1.0</v>
      </c>
      <c r="I313" s="6">
        <v>0</v>
      </c>
      <c r="J313" s="5" t="s">
        <v>19</v>
      </c>
      <c r="K313" s="6">
        <v>6</v>
      </c>
      <c r="L313" s="6">
        <v>6</v>
      </c>
      <c r="M313" s="7">
        <f>IF(K313&gt;0,L313/K313,"n/a")</f>
        <v>1.0</v>
      </c>
      <c r="N313" s="8">
        <f>IF(AND(F313&gt;0,K313&gt;0),(H313-M313)*100,"n/a")</f>
        <v>0.0</v>
      </c>
      <c r="O313" s="5" t="s">
        <v>20</v>
      </c>
    </row>
    <row r="314" spans="1:15">
      <c r="A314" s="5" t="s">
        <v>587</v>
      </c>
      <c r="B314" s="5" t="s">
        <v>588</v>
      </c>
      <c r="C314" s="5" t="s">
        <v>680</v>
      </c>
      <c r="D314" s="5" t="s">
        <v>687</v>
      </c>
      <c r="E314" s="5" t="s">
        <v>688</v>
      </c>
      <c r="F314" s="6">
        <v>3</v>
      </c>
      <c r="G314" s="6">
        <v>0</v>
      </c>
      <c r="H314" s="7">
        <f>IF(F314&gt;0,G314/F314,"n/a")</f>
        <v>0.0</v>
      </c>
      <c r="I314" s="6">
        <v>0</v>
      </c>
      <c r="J314" s="5" t="s">
        <v>67</v>
      </c>
      <c r="K314" s="6">
        <v>2</v>
      </c>
      <c r="L314" s="6">
        <v>2</v>
      </c>
      <c r="M314" s="7">
        <f>IF(K314&gt;0,L314/K314,"n/a")</f>
        <v>1.0</v>
      </c>
      <c r="N314" s="8">
        <f>IF(AND(F314&gt;0,K314&gt;0),(H314-M314)*100,"n/a")</f>
        <v>-100.0</v>
      </c>
      <c r="O314" s="5" t="s">
        <v>68</v>
      </c>
    </row>
    <row r="315" spans="1:15">
      <c r="A315" s="5" t="s">
        <v>587</v>
      </c>
      <c r="B315" s="5" t="s">
        <v>588</v>
      </c>
      <c r="C315" s="5" t="s">
        <v>680</v>
      </c>
      <c r="D315" s="5" t="s">
        <v>689</v>
      </c>
      <c r="E315" s="5" t="s">
        <v>690</v>
      </c>
      <c r="F315" s="6">
        <v>0</v>
      </c>
      <c r="G315" s="6">
        <v>0</v>
      </c>
      <c r="H315" s="7" t="str">
        <f>IF(F315&gt;0,G315/F315,"n/a")</f>
        <v>n/a</v>
      </c>
      <c r="I315" s="6">
        <v>0</v>
      </c>
      <c r="J315" s="5" t="s">
        <v>19</v>
      </c>
      <c r="K315" s="6">
        <v>0</v>
      </c>
      <c r="L315" s="6">
        <v>0</v>
      </c>
      <c r="M315" s="7" t="str">
        <f>IF(K315&gt;0,L315/K315,"n/a")</f>
        <v>n/a</v>
      </c>
      <c r="N315" s="8" t="str">
        <f>IF(AND(F315&gt;0,K315&gt;0),(H315-M315)*100,"n/a")</f>
        <v>n/a</v>
      </c>
      <c r="O315" s="5" t="s">
        <v>100</v>
      </c>
    </row>
    <row r="316" spans="1:15">
      <c r="A316" s="5" t="s">
        <v>587</v>
      </c>
      <c r="B316" s="5" t="s">
        <v>588</v>
      </c>
      <c r="C316" s="5" t="s">
        <v>680</v>
      </c>
      <c r="D316" s="5" t="s">
        <v>691</v>
      </c>
      <c r="E316" s="5" t="s">
        <v>692</v>
      </c>
      <c r="F316" s="6">
        <v>15</v>
      </c>
      <c r="G316" s="6">
        <v>16</v>
      </c>
      <c r="H316" s="7">
        <f>IF(F316&gt;0,G316/F316,"n/a")</f>
        <v>1.067</v>
      </c>
      <c r="I316" s="6">
        <v>0</v>
      </c>
      <c r="J316" s="5" t="s">
        <v>19</v>
      </c>
      <c r="K316" s="6">
        <v>16</v>
      </c>
      <c r="L316" s="6">
        <v>16</v>
      </c>
      <c r="M316" s="7">
        <f>IF(K316&gt;0,L316/K316,"n/a")</f>
        <v>1.0</v>
      </c>
      <c r="N316" s="8">
        <f>IF(AND(F316&gt;0,K316&gt;0),(H316-M316)*100,"n/a")</f>
        <v>6.7</v>
      </c>
      <c r="O316" s="5" t="s">
        <v>20</v>
      </c>
    </row>
    <row r="317" spans="1:15">
      <c r="A317" s="5" t="s">
        <v>587</v>
      </c>
      <c r="B317" s="5" t="s">
        <v>588</v>
      </c>
      <c r="C317" s="5" t="s">
        <v>680</v>
      </c>
      <c r="D317" s="5" t="s">
        <v>693</v>
      </c>
      <c r="E317" s="5" t="s">
        <v>694</v>
      </c>
      <c r="F317" s="6">
        <v>5</v>
      </c>
      <c r="G317" s="6">
        <v>5</v>
      </c>
      <c r="H317" s="7">
        <f>IF(F317&gt;0,G317/F317,"n/a")</f>
        <v>1.0</v>
      </c>
      <c r="I317" s="6">
        <v>0</v>
      </c>
      <c r="J317" s="5" t="s">
        <v>19</v>
      </c>
      <c r="K317" s="6">
        <v>15</v>
      </c>
      <c r="L317" s="6">
        <v>15</v>
      </c>
      <c r="M317" s="7">
        <f>IF(K317&gt;0,L317/K317,"n/a")</f>
        <v>1.0</v>
      </c>
      <c r="N317" s="8">
        <f>IF(AND(F317&gt;0,K317&gt;0),(H317-M317)*100,"n/a")</f>
        <v>0.0</v>
      </c>
      <c r="O317" s="5" t="s">
        <v>20</v>
      </c>
    </row>
    <row r="318" spans="1:15">
      <c r="A318" s="5" t="s">
        <v>587</v>
      </c>
      <c r="B318" s="5" t="s">
        <v>588</v>
      </c>
      <c r="C318" s="5" t="s">
        <v>680</v>
      </c>
      <c r="D318" s="5" t="s">
        <v>695</v>
      </c>
      <c r="E318" s="5" t="s">
        <v>696</v>
      </c>
      <c r="F318" s="6">
        <v>0</v>
      </c>
      <c r="G318" s="6">
        <v>9</v>
      </c>
      <c r="H318" s="7" t="str">
        <f>IF(F318&gt;0,G318/F318,"n/a")</f>
        <v>n/a</v>
      </c>
      <c r="I318" s="6">
        <v>0</v>
      </c>
      <c r="J318" s="5" t="s">
        <v>244</v>
      </c>
      <c r="K318" s="6">
        <v>0</v>
      </c>
      <c r="L318" s="6">
        <v>0</v>
      </c>
      <c r="M318" s="7" t="str">
        <f>IF(K318&gt;0,L318/K318,"n/a")</f>
        <v>n/a</v>
      </c>
      <c r="N318" s="8" t="str">
        <f>IF(AND(F318&gt;0,K318&gt;0),(H318-M318)*100,"n/a")</f>
        <v>n/a</v>
      </c>
      <c r="O318" s="5" t="s">
        <v>100</v>
      </c>
    </row>
    <row r="319" spans="1:15">
      <c r="A319" s="5" t="s">
        <v>587</v>
      </c>
      <c r="B319" s="5" t="s">
        <v>588</v>
      </c>
      <c r="C319" s="5" t="s">
        <v>680</v>
      </c>
      <c r="D319" s="5" t="s">
        <v>697</v>
      </c>
      <c r="E319" s="5" t="s">
        <v>698</v>
      </c>
      <c r="F319" s="6">
        <v>0</v>
      </c>
      <c r="G319" s="6">
        <v>6</v>
      </c>
      <c r="H319" s="7" t="str">
        <f>IF(F319&gt;0,G319/F319,"n/a")</f>
        <v>n/a</v>
      </c>
      <c r="I319" s="6">
        <v>0</v>
      </c>
      <c r="J319" s="5" t="s">
        <v>244</v>
      </c>
      <c r="K319" s="6">
        <v>0</v>
      </c>
      <c r="L319" s="6">
        <v>0</v>
      </c>
      <c r="M319" s="7" t="str">
        <f>IF(K319&gt;0,L319/K319,"n/a")</f>
        <v>n/a</v>
      </c>
      <c r="N319" s="8" t="str">
        <f>IF(AND(F319&gt;0,K319&gt;0),(H319-M319)*100,"n/a")</f>
        <v>n/a</v>
      </c>
      <c r="O319" s="5" t="s">
        <v>100</v>
      </c>
    </row>
    <row r="320" spans="1:15">
      <c r="A320" s="5" t="s">
        <v>587</v>
      </c>
      <c r="B320" s="5" t="s">
        <v>587</v>
      </c>
      <c r="C320" s="5" t="s">
        <v>699</v>
      </c>
      <c r="D320" s="5" t="s">
        <v>700</v>
      </c>
      <c r="E320" s="5" t="s">
        <v>701</v>
      </c>
      <c r="F320" s="6">
        <v>5</v>
      </c>
      <c r="G320" s="6">
        <v>5</v>
      </c>
      <c r="H320" s="7">
        <f>IF(F320&gt;0,G320/F320,"n/a")</f>
        <v>1.0</v>
      </c>
      <c r="I320" s="6">
        <v>0</v>
      </c>
      <c r="J320" s="5" t="s">
        <v>19</v>
      </c>
      <c r="K320" s="6">
        <v>2</v>
      </c>
      <c r="L320" s="6">
        <v>1</v>
      </c>
      <c r="M320" s="7">
        <f>IF(K320&gt;0,L320/K320,"n/a")</f>
        <v>0.5</v>
      </c>
      <c r="N320" s="8">
        <f>IF(AND(F320&gt;0,K320&gt;0),(H320-M320)*100,"n/a")</f>
        <v>50.0</v>
      </c>
      <c r="O320" s="5" t="s">
        <v>23</v>
      </c>
    </row>
    <row r="321" spans="1:15">
      <c r="A321" s="5" t="s">
        <v>587</v>
      </c>
      <c r="B321" s="5" t="s">
        <v>587</v>
      </c>
      <c r="C321" s="5" t="s">
        <v>699</v>
      </c>
      <c r="D321" s="5" t="s">
        <v>702</v>
      </c>
      <c r="E321" s="5" t="s">
        <v>703</v>
      </c>
      <c r="F321" s="6">
        <v>27</v>
      </c>
      <c r="G321" s="6">
        <v>27</v>
      </c>
      <c r="H321" s="7">
        <f>IF(F321&gt;0,G321/F321,"n/a")</f>
        <v>1.0</v>
      </c>
      <c r="I321" s="6">
        <v>0</v>
      </c>
      <c r="J321" s="5" t="s">
        <v>19</v>
      </c>
      <c r="K321" s="6">
        <v>17</v>
      </c>
      <c r="L321" s="6">
        <v>16</v>
      </c>
      <c r="M321" s="7">
        <f>IF(K321&gt;0,L321/K321,"n/a")</f>
        <v>0.941</v>
      </c>
      <c r="N321" s="8">
        <f>IF(AND(F321&gt;0,K321&gt;0),(H321-M321)*100,"n/a")</f>
        <v>5.9</v>
      </c>
      <c r="O321" s="5" t="s">
        <v>20</v>
      </c>
    </row>
    <row r="322" spans="1:15">
      <c r="A322" s="5" t="s">
        <v>587</v>
      </c>
      <c r="B322" s="5" t="s">
        <v>587</v>
      </c>
      <c r="C322" s="5" t="s">
        <v>699</v>
      </c>
      <c r="D322" s="5" t="s">
        <v>704</v>
      </c>
      <c r="E322" s="5" t="s">
        <v>705</v>
      </c>
      <c r="F322" s="6">
        <v>10</v>
      </c>
      <c r="G322" s="6">
        <v>10</v>
      </c>
      <c r="H322" s="7">
        <f>IF(F322&gt;0,G322/F322,"n/a")</f>
        <v>1.0</v>
      </c>
      <c r="I322" s="6">
        <v>0</v>
      </c>
      <c r="J322" s="5" t="s">
        <v>19</v>
      </c>
      <c r="K322" s="6">
        <v>5</v>
      </c>
      <c r="L322" s="6">
        <v>5</v>
      </c>
      <c r="M322" s="7">
        <f>IF(K322&gt;0,L322/K322,"n/a")</f>
        <v>1.0</v>
      </c>
      <c r="N322" s="8">
        <f>IF(AND(F322&gt;0,K322&gt;0),(H322-M322)*100,"n/a")</f>
        <v>0.0</v>
      </c>
      <c r="O322" s="5" t="s">
        <v>20</v>
      </c>
    </row>
    <row r="323" spans="1:15">
      <c r="A323" s="5" t="s">
        <v>587</v>
      </c>
      <c r="B323" s="5" t="s">
        <v>587</v>
      </c>
      <c r="C323" s="5" t="s">
        <v>699</v>
      </c>
      <c r="D323" s="5" t="s">
        <v>706</v>
      </c>
      <c r="E323" s="5" t="s">
        <v>707</v>
      </c>
      <c r="F323" s="6">
        <v>14</v>
      </c>
      <c r="G323" s="6">
        <v>14</v>
      </c>
      <c r="H323" s="7">
        <f>IF(F323&gt;0,G323/F323,"n/a")</f>
        <v>1.0</v>
      </c>
      <c r="I323" s="6">
        <v>0</v>
      </c>
      <c r="J323" s="5" t="s">
        <v>19</v>
      </c>
      <c r="K323" s="6">
        <v>13</v>
      </c>
      <c r="L323" s="6">
        <v>12</v>
      </c>
      <c r="M323" s="7">
        <f>IF(K323&gt;0,L323/K323,"n/a")</f>
        <v>0.9229999999999999</v>
      </c>
      <c r="N323" s="8">
        <f>IF(AND(F323&gt;0,K323&gt;0),(H323-M323)*100,"n/a")</f>
        <v>7.7</v>
      </c>
      <c r="O323" s="5" t="s">
        <v>20</v>
      </c>
    </row>
    <row r="324" spans="1:15">
      <c r="A324" s="5" t="s">
        <v>587</v>
      </c>
      <c r="B324" s="5" t="s">
        <v>587</v>
      </c>
      <c r="C324" s="5" t="s">
        <v>699</v>
      </c>
      <c r="D324" s="5" t="s">
        <v>708</v>
      </c>
      <c r="E324" s="5" t="s">
        <v>709</v>
      </c>
      <c r="F324" s="6">
        <v>8</v>
      </c>
      <c r="G324" s="6">
        <v>5</v>
      </c>
      <c r="H324" s="7">
        <f>IF(F324&gt;0,G324/F324,"n/a")</f>
        <v>0.625</v>
      </c>
      <c r="I324" s="6">
        <v>0</v>
      </c>
      <c r="J324" s="5" t="s">
        <v>45</v>
      </c>
      <c r="K324" s="6">
        <v>2</v>
      </c>
      <c r="L324" s="6">
        <v>2</v>
      </c>
      <c r="M324" s="7">
        <f>IF(K324&gt;0,L324/K324,"n/a")</f>
        <v>1.0</v>
      </c>
      <c r="N324" s="8">
        <f>IF(AND(F324&gt;0,K324&gt;0),(H324-M324)*100,"n/a")</f>
        <v>-37.5</v>
      </c>
      <c r="O324" s="5" t="s">
        <v>68</v>
      </c>
    </row>
    <row r="325" spans="1:15">
      <c r="A325" s="5" t="s">
        <v>587</v>
      </c>
      <c r="B325" s="5" t="s">
        <v>587</v>
      </c>
      <c r="C325" s="5" t="s">
        <v>699</v>
      </c>
      <c r="D325" s="5" t="s">
        <v>710</v>
      </c>
      <c r="E325" s="5" t="s">
        <v>711</v>
      </c>
      <c r="F325" s="6">
        <v>4</v>
      </c>
      <c r="G325" s="6">
        <v>0</v>
      </c>
      <c r="H325" s="7">
        <f>IF(F325&gt;0,G325/F325,"n/a")</f>
        <v>0.0</v>
      </c>
      <c r="I325" s="6">
        <v>0</v>
      </c>
      <c r="J325" s="5" t="s">
        <v>67</v>
      </c>
      <c r="K325" s="6">
        <v>3</v>
      </c>
      <c r="L325" s="6">
        <v>3</v>
      </c>
      <c r="M325" s="7">
        <f>IF(K325&gt;0,L325/K325,"n/a")</f>
        <v>1.0</v>
      </c>
      <c r="N325" s="8">
        <f>IF(AND(F325&gt;0,K325&gt;0),(H325-M325)*100,"n/a")</f>
        <v>-100.0</v>
      </c>
      <c r="O325" s="5" t="s">
        <v>68</v>
      </c>
    </row>
    <row r="326" spans="1:15">
      <c r="A326" s="5" t="s">
        <v>587</v>
      </c>
      <c r="B326" s="5" t="s">
        <v>587</v>
      </c>
      <c r="C326" s="5" t="s">
        <v>699</v>
      </c>
      <c r="D326" s="5" t="s">
        <v>712</v>
      </c>
      <c r="E326" s="5" t="s">
        <v>713</v>
      </c>
      <c r="F326" s="6">
        <v>29</v>
      </c>
      <c r="G326" s="6">
        <v>29</v>
      </c>
      <c r="H326" s="7">
        <f>IF(F326&gt;0,G326/F326,"n/a")</f>
        <v>1.0</v>
      </c>
      <c r="I326" s="6">
        <v>0</v>
      </c>
      <c r="J326" s="5" t="s">
        <v>19</v>
      </c>
      <c r="K326" s="6">
        <v>21</v>
      </c>
      <c r="L326" s="6">
        <v>15</v>
      </c>
      <c r="M326" s="7">
        <f>IF(K326&gt;0,L326/K326,"n/a")</f>
        <v>0.7140000000000001</v>
      </c>
      <c r="N326" s="8">
        <f>IF(AND(F326&gt;0,K326&gt;0),(H326-M326)*100,"n/a")</f>
        <v>28.6</v>
      </c>
      <c r="O326" s="5" t="s">
        <v>23</v>
      </c>
    </row>
    <row r="327" spans="1:15">
      <c r="A327" s="5" t="s">
        <v>587</v>
      </c>
      <c r="B327" s="5" t="s">
        <v>587</v>
      </c>
      <c r="C327" s="5" t="s">
        <v>699</v>
      </c>
      <c r="D327" s="5" t="s">
        <v>714</v>
      </c>
      <c r="E327" s="5" t="s">
        <v>715</v>
      </c>
      <c r="F327" s="6">
        <v>15</v>
      </c>
      <c r="G327" s="6">
        <v>15</v>
      </c>
      <c r="H327" s="7">
        <f>IF(F327&gt;0,G327/F327,"n/a")</f>
        <v>1.0</v>
      </c>
      <c r="I327" s="6">
        <v>0</v>
      </c>
      <c r="J327" s="5" t="s">
        <v>19</v>
      </c>
      <c r="K327" s="6">
        <v>5</v>
      </c>
      <c r="L327" s="6">
        <v>5</v>
      </c>
      <c r="M327" s="7">
        <f>IF(K327&gt;0,L327/K327,"n/a")</f>
        <v>1.0</v>
      </c>
      <c r="N327" s="8">
        <f>IF(AND(F327&gt;0,K327&gt;0),(H327-M327)*100,"n/a")</f>
        <v>0.0</v>
      </c>
      <c r="O327" s="5" t="s">
        <v>20</v>
      </c>
    </row>
    <row r="328" spans="1:15">
      <c r="A328" s="5" t="s">
        <v>587</v>
      </c>
      <c r="B328" s="5" t="s">
        <v>587</v>
      </c>
      <c r="C328" s="5" t="s">
        <v>699</v>
      </c>
      <c r="D328" s="5" t="s">
        <v>716</v>
      </c>
      <c r="E328" s="5" t="s">
        <v>717</v>
      </c>
      <c r="F328" s="6">
        <v>21</v>
      </c>
      <c r="G328" s="6">
        <v>21</v>
      </c>
      <c r="H328" s="7">
        <f>IF(F328&gt;0,G328/F328,"n/a")</f>
        <v>1.0</v>
      </c>
      <c r="I328" s="6">
        <v>0</v>
      </c>
      <c r="J328" s="5" t="s">
        <v>19</v>
      </c>
      <c r="K328" s="6">
        <v>16</v>
      </c>
      <c r="L328" s="6">
        <v>11</v>
      </c>
      <c r="M328" s="7">
        <f>IF(K328&gt;0,L328/K328,"n/a")</f>
        <v>0.688</v>
      </c>
      <c r="N328" s="8">
        <f>IF(AND(F328&gt;0,K328&gt;0),(H328-M328)*100,"n/a")</f>
        <v>31.2</v>
      </c>
      <c r="O328" s="5" t="s">
        <v>23</v>
      </c>
    </row>
    <row r="329" spans="1:15">
      <c r="A329" s="5" t="s">
        <v>587</v>
      </c>
      <c r="B329" s="5" t="s">
        <v>587</v>
      </c>
      <c r="C329" s="5" t="s">
        <v>699</v>
      </c>
      <c r="D329" s="5" t="s">
        <v>718</v>
      </c>
      <c r="E329" s="5" t="s">
        <v>719</v>
      </c>
      <c r="F329" s="6">
        <v>227</v>
      </c>
      <c r="G329" s="6">
        <v>227</v>
      </c>
      <c r="H329" s="7">
        <f>IF(F329&gt;0,G329/F329,"n/a")</f>
        <v>1.0</v>
      </c>
      <c r="I329" s="6">
        <v>0</v>
      </c>
      <c r="J329" s="5" t="s">
        <v>19</v>
      </c>
      <c r="K329" s="6">
        <v>205</v>
      </c>
      <c r="L329" s="6">
        <v>78</v>
      </c>
      <c r="M329" s="7">
        <f>IF(K329&gt;0,L329/K329,"n/a")</f>
        <v>0.38</v>
      </c>
      <c r="N329" s="8">
        <f>IF(AND(F329&gt;0,K329&gt;0),(H329-M329)*100,"n/a")</f>
        <v>62.0</v>
      </c>
      <c r="O329" s="5" t="s">
        <v>23</v>
      </c>
    </row>
    <row r="330" spans="1:15">
      <c r="A330" s="5" t="s">
        <v>587</v>
      </c>
      <c r="B330" s="5" t="s">
        <v>587</v>
      </c>
      <c r="C330" s="5" t="s">
        <v>699</v>
      </c>
      <c r="D330" s="5" t="s">
        <v>720</v>
      </c>
      <c r="E330" s="5" t="s">
        <v>721</v>
      </c>
      <c r="F330" s="6">
        <v>148</v>
      </c>
      <c r="G330" s="6">
        <v>148</v>
      </c>
      <c r="H330" s="7">
        <f>IF(F330&gt;0,G330/F330,"n/a")</f>
        <v>1.0</v>
      </c>
      <c r="I330" s="6">
        <v>0</v>
      </c>
      <c r="J330" s="5" t="s">
        <v>19</v>
      </c>
      <c r="K330" s="6">
        <v>146</v>
      </c>
      <c r="L330" s="6">
        <v>72</v>
      </c>
      <c r="M330" s="7">
        <f>IF(K330&gt;0,L330/K330,"n/a")</f>
        <v>0.493</v>
      </c>
      <c r="N330" s="8">
        <f>IF(AND(F330&gt;0,K330&gt;0),(H330-M330)*100,"n/a")</f>
        <v>50.7</v>
      </c>
      <c r="O330" s="5" t="s">
        <v>23</v>
      </c>
    </row>
    <row r="331" spans="1:15">
      <c r="A331" s="5" t="s">
        <v>587</v>
      </c>
      <c r="B331" s="5" t="s">
        <v>587</v>
      </c>
      <c r="C331" s="5" t="s">
        <v>699</v>
      </c>
      <c r="D331" s="5" t="s">
        <v>722</v>
      </c>
      <c r="E331" s="5" t="s">
        <v>723</v>
      </c>
      <c r="F331" s="6">
        <v>62</v>
      </c>
      <c r="G331" s="6">
        <v>62</v>
      </c>
      <c r="H331" s="7">
        <f>IF(F331&gt;0,G331/F331,"n/a")</f>
        <v>1.0</v>
      </c>
      <c r="I331" s="6">
        <v>0</v>
      </c>
      <c r="J331" s="5" t="s">
        <v>19</v>
      </c>
      <c r="K331" s="6">
        <v>41</v>
      </c>
      <c r="L331" s="6">
        <v>23</v>
      </c>
      <c r="M331" s="7">
        <f>IF(K331&gt;0,L331/K331,"n/a")</f>
        <v>0.561</v>
      </c>
      <c r="N331" s="8">
        <f>IF(AND(F331&gt;0,K331&gt;0),(H331-M331)*100,"n/a")</f>
        <v>43.9</v>
      </c>
      <c r="O331" s="5" t="s">
        <v>23</v>
      </c>
    </row>
    <row r="332" spans="1:15">
      <c r="A332" s="5" t="s">
        <v>587</v>
      </c>
      <c r="B332" s="5" t="s">
        <v>587</v>
      </c>
      <c r="C332" s="5" t="s">
        <v>699</v>
      </c>
      <c r="D332" s="5" t="s">
        <v>724</v>
      </c>
      <c r="E332" s="5" t="s">
        <v>725</v>
      </c>
      <c r="F332" s="6">
        <v>71</v>
      </c>
      <c r="G332" s="6">
        <v>69</v>
      </c>
      <c r="H332" s="7">
        <f>IF(F332&gt;0,G332/F332,"n/a")</f>
        <v>0.972</v>
      </c>
      <c r="I332" s="6">
        <v>0</v>
      </c>
      <c r="J332" s="5" t="s">
        <v>19</v>
      </c>
      <c r="K332" s="6">
        <v>71</v>
      </c>
      <c r="L332" s="6">
        <v>57</v>
      </c>
      <c r="M332" s="7">
        <f>IF(K332&gt;0,L332/K332,"n/a")</f>
        <v>0.8029999999999999</v>
      </c>
      <c r="N332" s="8">
        <f>IF(AND(F332&gt;0,K332&gt;0),(H332-M332)*100,"n/a")</f>
        <v>16.9</v>
      </c>
      <c r="O332" s="5" t="s">
        <v>20</v>
      </c>
    </row>
    <row r="333" spans="1:15">
      <c r="A333" s="5" t="s">
        <v>587</v>
      </c>
      <c r="B333" s="5" t="s">
        <v>587</v>
      </c>
      <c r="C333" s="5" t="s">
        <v>699</v>
      </c>
      <c r="D333" s="5" t="s">
        <v>726</v>
      </c>
      <c r="E333" s="5" t="s">
        <v>727</v>
      </c>
      <c r="F333" s="6">
        <v>15</v>
      </c>
      <c r="G333" s="6">
        <v>15</v>
      </c>
      <c r="H333" s="7">
        <f>IF(F333&gt;0,G333/F333,"n/a")</f>
        <v>1.0</v>
      </c>
      <c r="I333" s="6">
        <v>0</v>
      </c>
      <c r="J333" s="5" t="s">
        <v>19</v>
      </c>
      <c r="K333" s="6">
        <v>7</v>
      </c>
      <c r="L333" s="6">
        <v>0</v>
      </c>
      <c r="M333" s="7">
        <f>IF(K333&gt;0,L333/K333,"n/a")</f>
        <v>0.0</v>
      </c>
      <c r="N333" s="8">
        <f>IF(AND(F333&gt;0,K333&gt;0),(H333-M333)*100,"n/a")</f>
        <v>100.0</v>
      </c>
      <c r="O333" s="5" t="s">
        <v>23</v>
      </c>
    </row>
    <row r="334" spans="1:15">
      <c r="A334" s="5" t="s">
        <v>587</v>
      </c>
      <c r="B334" s="5" t="s">
        <v>587</v>
      </c>
      <c r="C334" s="5" t="s">
        <v>699</v>
      </c>
      <c r="D334" s="5" t="s">
        <v>728</v>
      </c>
      <c r="E334" s="5" t="s">
        <v>729</v>
      </c>
      <c r="F334" s="6">
        <v>40</v>
      </c>
      <c r="G334" s="6">
        <v>40</v>
      </c>
      <c r="H334" s="7">
        <f>IF(F334&gt;0,G334/F334,"n/a")</f>
        <v>1.0</v>
      </c>
      <c r="I334" s="6">
        <v>0</v>
      </c>
      <c r="J334" s="5" t="s">
        <v>19</v>
      </c>
      <c r="K334" s="6">
        <v>33</v>
      </c>
      <c r="L334" s="6">
        <v>33</v>
      </c>
      <c r="M334" s="7">
        <f>IF(K334&gt;0,L334/K334,"n/a")</f>
        <v>1.0</v>
      </c>
      <c r="N334" s="8">
        <f>IF(AND(F334&gt;0,K334&gt;0),(H334-M334)*100,"n/a")</f>
        <v>0.0</v>
      </c>
      <c r="O334" s="5" t="s">
        <v>20</v>
      </c>
    </row>
    <row r="335" spans="1:15">
      <c r="A335" s="5" t="s">
        <v>587</v>
      </c>
      <c r="B335" s="5" t="s">
        <v>587</v>
      </c>
      <c r="C335" s="5" t="s">
        <v>699</v>
      </c>
      <c r="D335" s="5" t="s">
        <v>730</v>
      </c>
      <c r="E335" s="5" t="s">
        <v>731</v>
      </c>
      <c r="F335" s="6">
        <v>23</v>
      </c>
      <c r="G335" s="6">
        <v>23</v>
      </c>
      <c r="H335" s="7">
        <f>IF(F335&gt;0,G335/F335,"n/a")</f>
        <v>1.0</v>
      </c>
      <c r="I335" s="6">
        <v>0</v>
      </c>
      <c r="J335" s="5" t="s">
        <v>19</v>
      </c>
      <c r="K335" s="6">
        <v>8</v>
      </c>
      <c r="L335" s="6">
        <v>5</v>
      </c>
      <c r="M335" s="7">
        <f>IF(K335&gt;0,L335/K335,"n/a")</f>
        <v>0.625</v>
      </c>
      <c r="N335" s="8">
        <f>IF(AND(F335&gt;0,K335&gt;0),(H335-M335)*100,"n/a")</f>
        <v>37.5</v>
      </c>
      <c r="O335" s="5" t="s">
        <v>23</v>
      </c>
    </row>
    <row r="336" spans="1:15">
      <c r="A336" s="5" t="s">
        <v>587</v>
      </c>
      <c r="B336" s="5" t="s">
        <v>587</v>
      </c>
      <c r="C336" s="5" t="s">
        <v>699</v>
      </c>
      <c r="D336" s="5" t="s">
        <v>732</v>
      </c>
      <c r="E336" s="5" t="s">
        <v>733</v>
      </c>
      <c r="F336" s="6">
        <v>71</v>
      </c>
      <c r="G336" s="6">
        <v>71</v>
      </c>
      <c r="H336" s="7">
        <f>IF(F336&gt;0,G336/F336,"n/a")</f>
        <v>1.0</v>
      </c>
      <c r="I336" s="6">
        <v>0</v>
      </c>
      <c r="J336" s="5" t="s">
        <v>19</v>
      </c>
      <c r="K336" s="6">
        <v>53</v>
      </c>
      <c r="L336" s="6">
        <v>40</v>
      </c>
      <c r="M336" s="7">
        <f>IF(K336&gt;0,L336/K336,"n/a")</f>
        <v>0.755</v>
      </c>
      <c r="N336" s="8">
        <f>IF(AND(F336&gt;0,K336&gt;0),(H336-M336)*100,"n/a")</f>
        <v>24.5</v>
      </c>
      <c r="O336" s="5" t="s">
        <v>23</v>
      </c>
    </row>
    <row r="337" spans="1:15">
      <c r="A337" s="5" t="s">
        <v>587</v>
      </c>
      <c r="B337" s="5" t="s">
        <v>587</v>
      </c>
      <c r="C337" s="5" t="s">
        <v>699</v>
      </c>
      <c r="D337" s="5" t="s">
        <v>734</v>
      </c>
      <c r="E337" s="5" t="s">
        <v>735</v>
      </c>
      <c r="F337" s="6">
        <v>205</v>
      </c>
      <c r="G337" s="6">
        <v>206</v>
      </c>
      <c r="H337" s="7">
        <f>IF(F337&gt;0,G337/F337,"n/a")</f>
        <v>1.005</v>
      </c>
      <c r="I337" s="6">
        <v>0</v>
      </c>
      <c r="J337" s="5" t="s">
        <v>19</v>
      </c>
      <c r="K337" s="6">
        <v>122</v>
      </c>
      <c r="L337" s="6">
        <v>102</v>
      </c>
      <c r="M337" s="7">
        <f>IF(K337&gt;0,L337/K337,"n/a")</f>
        <v>0.836</v>
      </c>
      <c r="N337" s="8">
        <f>IF(AND(F337&gt;0,K337&gt;0),(H337-M337)*100,"n/a")</f>
        <v>16.9</v>
      </c>
      <c r="O337" s="5" t="s">
        <v>20</v>
      </c>
    </row>
    <row r="338" spans="1:15">
      <c r="A338" s="5" t="s">
        <v>587</v>
      </c>
      <c r="B338" s="5" t="s">
        <v>587</v>
      </c>
      <c r="C338" s="5" t="s">
        <v>699</v>
      </c>
      <c r="D338" s="5" t="s">
        <v>736</v>
      </c>
      <c r="E338" s="5" t="s">
        <v>737</v>
      </c>
      <c r="F338" s="6">
        <v>16</v>
      </c>
      <c r="G338" s="6">
        <v>16</v>
      </c>
      <c r="H338" s="7">
        <f>IF(F338&gt;0,G338/F338,"n/a")</f>
        <v>1.0</v>
      </c>
      <c r="I338" s="6">
        <v>0</v>
      </c>
      <c r="J338" s="5" t="s">
        <v>19</v>
      </c>
      <c r="K338" s="6">
        <v>9</v>
      </c>
      <c r="L338" s="6">
        <v>4</v>
      </c>
      <c r="M338" s="7">
        <f>IF(K338&gt;0,L338/K338,"n/a")</f>
        <v>0.444</v>
      </c>
      <c r="N338" s="8">
        <f>IF(AND(F338&gt;0,K338&gt;0),(H338-M338)*100,"n/a")</f>
        <v>55.6</v>
      </c>
      <c r="O338" s="5" t="s">
        <v>23</v>
      </c>
    </row>
    <row r="339" spans="1:15">
      <c r="A339" s="5" t="s">
        <v>587</v>
      </c>
      <c r="B339" s="5" t="s">
        <v>587</v>
      </c>
      <c r="C339" s="5" t="s">
        <v>699</v>
      </c>
      <c r="D339" s="5" t="s">
        <v>738</v>
      </c>
      <c r="E339" s="5" t="s">
        <v>739</v>
      </c>
      <c r="F339" s="6">
        <v>240</v>
      </c>
      <c r="G339" s="6">
        <v>240</v>
      </c>
      <c r="H339" s="7">
        <f>IF(F339&gt;0,G339/F339,"n/a")</f>
        <v>1.0</v>
      </c>
      <c r="I339" s="6">
        <v>0</v>
      </c>
      <c r="J339" s="5" t="s">
        <v>19</v>
      </c>
      <c r="K339" s="6">
        <v>131</v>
      </c>
      <c r="L339" s="6">
        <v>87</v>
      </c>
      <c r="M339" s="7">
        <f>IF(K339&gt;0,L339/K339,"n/a")</f>
        <v>0.664</v>
      </c>
      <c r="N339" s="8">
        <f>IF(AND(F339&gt;0,K339&gt;0),(H339-M339)*100,"n/a")</f>
        <v>33.6</v>
      </c>
      <c r="O339" s="5" t="s">
        <v>23</v>
      </c>
    </row>
    <row r="340" spans="1:15">
      <c r="A340" s="5" t="s">
        <v>587</v>
      </c>
      <c r="B340" s="5" t="s">
        <v>587</v>
      </c>
      <c r="C340" s="5" t="s">
        <v>699</v>
      </c>
      <c r="D340" s="5" t="s">
        <v>740</v>
      </c>
      <c r="E340" s="5" t="s">
        <v>741</v>
      </c>
      <c r="F340" s="6">
        <v>78</v>
      </c>
      <c r="G340" s="6">
        <v>80</v>
      </c>
      <c r="H340" s="7">
        <f>IF(F340&gt;0,G340/F340,"n/a")</f>
        <v>1.026</v>
      </c>
      <c r="I340" s="6">
        <v>0</v>
      </c>
      <c r="J340" s="5" t="s">
        <v>19</v>
      </c>
      <c r="K340" s="6">
        <v>70</v>
      </c>
      <c r="L340" s="6">
        <v>50</v>
      </c>
      <c r="M340" s="7">
        <f>IF(K340&gt;0,L340/K340,"n/a")</f>
        <v>0.7140000000000001</v>
      </c>
      <c r="N340" s="8">
        <f>IF(AND(F340&gt;0,K340&gt;0),(H340-M340)*100,"n/a")</f>
        <v>31.1</v>
      </c>
      <c r="O340" s="5" t="s">
        <v>23</v>
      </c>
    </row>
    <row r="341" spans="1:15">
      <c r="A341" s="5" t="s">
        <v>587</v>
      </c>
      <c r="B341" s="5" t="s">
        <v>587</v>
      </c>
      <c r="C341" s="5" t="s">
        <v>699</v>
      </c>
      <c r="D341" s="5" t="s">
        <v>742</v>
      </c>
      <c r="E341" s="5" t="s">
        <v>743</v>
      </c>
      <c r="F341" s="6">
        <v>245</v>
      </c>
      <c r="G341" s="6">
        <v>238</v>
      </c>
      <c r="H341" s="7">
        <f>IF(F341&gt;0,G341/F341,"n/a")</f>
        <v>0.971</v>
      </c>
      <c r="I341" s="6">
        <v>0</v>
      </c>
      <c r="J341" s="5" t="s">
        <v>19</v>
      </c>
      <c r="K341" s="6">
        <v>194</v>
      </c>
      <c r="L341" s="6">
        <v>76</v>
      </c>
      <c r="M341" s="7">
        <f>IF(K341&gt;0,L341/K341,"n/a")</f>
        <v>0.392</v>
      </c>
      <c r="N341" s="8">
        <f>IF(AND(F341&gt;0,K341&gt;0),(H341-M341)*100,"n/a")</f>
        <v>58.0</v>
      </c>
      <c r="O341" s="5" t="s">
        <v>23</v>
      </c>
    </row>
    <row r="342" spans="1:15">
      <c r="A342" s="5" t="s">
        <v>587</v>
      </c>
      <c r="B342" s="5" t="s">
        <v>587</v>
      </c>
      <c r="C342" s="5" t="s">
        <v>699</v>
      </c>
      <c r="D342" s="5" t="s">
        <v>744</v>
      </c>
      <c r="E342" s="5" t="s">
        <v>745</v>
      </c>
      <c r="F342" s="6">
        <v>88</v>
      </c>
      <c r="G342" s="6">
        <v>93</v>
      </c>
      <c r="H342" s="7">
        <f>IF(F342&gt;0,G342/F342,"n/a")</f>
        <v>1.057</v>
      </c>
      <c r="I342" s="6">
        <v>0</v>
      </c>
      <c r="J342" s="5" t="s">
        <v>19</v>
      </c>
      <c r="K342" s="6">
        <v>84</v>
      </c>
      <c r="L342" s="6">
        <v>61</v>
      </c>
      <c r="M342" s="7">
        <f>IF(K342&gt;0,L342/K342,"n/a")</f>
        <v>0.726</v>
      </c>
      <c r="N342" s="8">
        <f>IF(AND(F342&gt;0,K342&gt;0),(H342-M342)*100,"n/a")</f>
        <v>33.1</v>
      </c>
      <c r="O342" s="5" t="s">
        <v>23</v>
      </c>
    </row>
    <row r="343" spans="1:15">
      <c r="A343" s="5" t="s">
        <v>587</v>
      </c>
      <c r="B343" s="5" t="s">
        <v>587</v>
      </c>
      <c r="C343" s="5" t="s">
        <v>699</v>
      </c>
      <c r="D343" s="5" t="s">
        <v>746</v>
      </c>
      <c r="E343" s="5" t="s">
        <v>747</v>
      </c>
      <c r="F343" s="6">
        <v>116</v>
      </c>
      <c r="G343" s="6">
        <v>116</v>
      </c>
      <c r="H343" s="7">
        <f>IF(F343&gt;0,G343/F343,"n/a")</f>
        <v>1.0</v>
      </c>
      <c r="I343" s="6">
        <v>0</v>
      </c>
      <c r="J343" s="5" t="s">
        <v>19</v>
      </c>
      <c r="K343" s="6">
        <v>76</v>
      </c>
      <c r="L343" s="6">
        <v>45</v>
      </c>
      <c r="M343" s="7">
        <f>IF(K343&gt;0,L343/K343,"n/a")</f>
        <v>0.5920000000000001</v>
      </c>
      <c r="N343" s="8">
        <f>IF(AND(F343&gt;0,K343&gt;0),(H343-M343)*100,"n/a")</f>
        <v>40.8</v>
      </c>
      <c r="O343" s="5" t="s">
        <v>23</v>
      </c>
    </row>
    <row r="344" spans="1:15">
      <c r="A344" s="5" t="s">
        <v>587</v>
      </c>
      <c r="B344" s="5" t="s">
        <v>587</v>
      </c>
      <c r="C344" s="5" t="s">
        <v>699</v>
      </c>
      <c r="D344" s="5" t="s">
        <v>748</v>
      </c>
      <c r="E344" s="5" t="s">
        <v>749</v>
      </c>
      <c r="F344" s="6">
        <v>129</v>
      </c>
      <c r="G344" s="6">
        <v>115</v>
      </c>
      <c r="H344" s="7">
        <f>IF(F344&gt;0,G344/F344,"n/a")</f>
        <v>0.8909999999999999</v>
      </c>
      <c r="I344" s="6">
        <v>0</v>
      </c>
      <c r="J344" s="5" t="s">
        <v>19</v>
      </c>
      <c r="K344" s="6">
        <v>111</v>
      </c>
      <c r="L344" s="6">
        <v>55</v>
      </c>
      <c r="M344" s="7">
        <f>IF(K344&gt;0,L344/K344,"n/a")</f>
        <v>0.495</v>
      </c>
      <c r="N344" s="8">
        <f>IF(AND(F344&gt;0,K344&gt;0),(H344-M344)*100,"n/a")</f>
        <v>39.6</v>
      </c>
      <c r="O344" s="5" t="s">
        <v>23</v>
      </c>
    </row>
    <row r="345" spans="1:15">
      <c r="A345" s="5" t="s">
        <v>587</v>
      </c>
      <c r="B345" s="5" t="s">
        <v>587</v>
      </c>
      <c r="C345" s="5" t="s">
        <v>699</v>
      </c>
      <c r="D345" s="5" t="s">
        <v>750</v>
      </c>
      <c r="E345" s="5" t="s">
        <v>751</v>
      </c>
      <c r="F345" s="6">
        <v>57</v>
      </c>
      <c r="G345" s="6">
        <v>53</v>
      </c>
      <c r="H345" s="7">
        <f>IF(F345&gt;0,G345/F345,"n/a")</f>
        <v>0.93</v>
      </c>
      <c r="I345" s="6">
        <v>0</v>
      </c>
      <c r="J345" s="5" t="s">
        <v>19</v>
      </c>
      <c r="K345" s="6">
        <v>65</v>
      </c>
      <c r="L345" s="6">
        <v>39</v>
      </c>
      <c r="M345" s="7">
        <f>IF(K345&gt;0,L345/K345,"n/a")</f>
        <v>0.6</v>
      </c>
      <c r="N345" s="8">
        <f>IF(AND(F345&gt;0,K345&gt;0),(H345-M345)*100,"n/a")</f>
        <v>33.0</v>
      </c>
      <c r="O345" s="5" t="s">
        <v>23</v>
      </c>
    </row>
    <row r="346" spans="1:15">
      <c r="A346" s="5" t="s">
        <v>587</v>
      </c>
      <c r="B346" s="5" t="s">
        <v>587</v>
      </c>
      <c r="C346" s="5" t="s">
        <v>699</v>
      </c>
      <c r="D346" s="5" t="s">
        <v>752</v>
      </c>
      <c r="E346" s="5" t="s">
        <v>753</v>
      </c>
      <c r="F346" s="6">
        <v>30</v>
      </c>
      <c r="G346" s="6">
        <v>33</v>
      </c>
      <c r="H346" s="7">
        <f>IF(F346&gt;0,G346/F346,"n/a")</f>
        <v>1.1</v>
      </c>
      <c r="I346" s="6">
        <v>0</v>
      </c>
      <c r="J346" s="5" t="s">
        <v>26</v>
      </c>
      <c r="K346" s="6">
        <v>22</v>
      </c>
      <c r="L346" s="6">
        <v>21</v>
      </c>
      <c r="M346" s="7">
        <f>IF(K346&gt;0,L346/K346,"n/a")</f>
        <v>0.955</v>
      </c>
      <c r="N346" s="8">
        <f>IF(AND(F346&gt;0,K346&gt;0),(H346-M346)*100,"n/a")</f>
        <v>14.5</v>
      </c>
      <c r="O346" s="5" t="s">
        <v>20</v>
      </c>
    </row>
    <row r="347" spans="1:15">
      <c r="A347" s="5" t="s">
        <v>587</v>
      </c>
      <c r="B347" s="5" t="s">
        <v>587</v>
      </c>
      <c r="C347" s="5" t="s">
        <v>699</v>
      </c>
      <c r="D347" s="5" t="s">
        <v>754</v>
      </c>
      <c r="E347" s="5" t="s">
        <v>755</v>
      </c>
      <c r="F347" s="6">
        <v>19</v>
      </c>
      <c r="G347" s="6">
        <v>19</v>
      </c>
      <c r="H347" s="7">
        <f>IF(F347&gt;0,G347/F347,"n/a")</f>
        <v>1.0</v>
      </c>
      <c r="I347" s="6">
        <v>0</v>
      </c>
      <c r="J347" s="5" t="s">
        <v>19</v>
      </c>
      <c r="K347" s="6">
        <v>17</v>
      </c>
      <c r="L347" s="6">
        <v>17</v>
      </c>
      <c r="M347" s="7">
        <f>IF(K347&gt;0,L347/K347,"n/a")</f>
        <v>1.0</v>
      </c>
      <c r="N347" s="8">
        <f>IF(AND(F347&gt;0,K347&gt;0),(H347-M347)*100,"n/a")</f>
        <v>0.0</v>
      </c>
      <c r="O347" s="5" t="s">
        <v>20</v>
      </c>
    </row>
    <row r="348" spans="1:15">
      <c r="A348" s="5" t="s">
        <v>587</v>
      </c>
      <c r="B348" s="5" t="s">
        <v>587</v>
      </c>
      <c r="C348" s="5" t="s">
        <v>699</v>
      </c>
      <c r="D348" s="5" t="s">
        <v>756</v>
      </c>
      <c r="E348" s="5" t="s">
        <v>757</v>
      </c>
      <c r="F348" s="6">
        <v>399</v>
      </c>
      <c r="G348" s="6">
        <v>357</v>
      </c>
      <c r="H348" s="7">
        <f>IF(F348&gt;0,G348/F348,"n/a")</f>
        <v>0.895</v>
      </c>
      <c r="I348" s="6">
        <v>0</v>
      </c>
      <c r="J348" s="5" t="s">
        <v>19</v>
      </c>
      <c r="K348" s="6">
        <v>291</v>
      </c>
      <c r="L348" s="6">
        <v>143</v>
      </c>
      <c r="M348" s="7">
        <f>IF(K348&gt;0,L348/K348,"n/a")</f>
        <v>0.491</v>
      </c>
      <c r="N348" s="8">
        <f>IF(AND(F348&gt;0,K348&gt;0),(H348-M348)*100,"n/a")</f>
        <v>40.3</v>
      </c>
      <c r="O348" s="5" t="s">
        <v>23</v>
      </c>
    </row>
    <row r="349" spans="1:15">
      <c r="A349" s="5" t="s">
        <v>587</v>
      </c>
      <c r="B349" s="5" t="s">
        <v>587</v>
      </c>
      <c r="C349" s="5" t="s">
        <v>699</v>
      </c>
      <c r="D349" s="5" t="s">
        <v>758</v>
      </c>
      <c r="E349" s="5" t="s">
        <v>759</v>
      </c>
      <c r="F349" s="6">
        <v>217</v>
      </c>
      <c r="G349" s="6">
        <v>240</v>
      </c>
      <c r="H349" s="7">
        <f>IF(F349&gt;0,G349/F349,"n/a")</f>
        <v>1.1059999999999999</v>
      </c>
      <c r="I349" s="6">
        <v>0</v>
      </c>
      <c r="J349" s="5" t="s">
        <v>26</v>
      </c>
      <c r="K349" s="6">
        <v>162</v>
      </c>
      <c r="L349" s="6">
        <v>59</v>
      </c>
      <c r="M349" s="7">
        <f>IF(K349&gt;0,L349/K349,"n/a")</f>
        <v>0.364</v>
      </c>
      <c r="N349" s="8">
        <f>IF(AND(F349&gt;0,K349&gt;0),(H349-M349)*100,"n/a")</f>
        <v>74.2</v>
      </c>
      <c r="O349" s="5" t="s">
        <v>23</v>
      </c>
    </row>
    <row r="350" spans="1:15">
      <c r="A350" s="5" t="s">
        <v>587</v>
      </c>
      <c r="B350" s="5" t="s">
        <v>587</v>
      </c>
      <c r="C350" s="5" t="s">
        <v>699</v>
      </c>
      <c r="D350" s="5" t="s">
        <v>760</v>
      </c>
      <c r="E350" s="5" t="s">
        <v>761</v>
      </c>
      <c r="F350" s="6">
        <v>353</v>
      </c>
      <c r="G350" s="6">
        <v>0</v>
      </c>
      <c r="H350" s="7">
        <f>IF(F350&gt;0,G350/F350,"n/a")</f>
        <v>0.0</v>
      </c>
      <c r="I350" s="6">
        <v>0</v>
      </c>
      <c r="J350" s="5" t="s">
        <v>67</v>
      </c>
      <c r="K350" s="6">
        <v>301</v>
      </c>
      <c r="L350" s="6">
        <v>26</v>
      </c>
      <c r="M350" s="7">
        <f>IF(K350&gt;0,L350/K350,"n/a")</f>
        <v>0.086</v>
      </c>
      <c r="N350" s="8">
        <f>IF(AND(F350&gt;0,K350&gt;0),(H350-M350)*100,"n/a")</f>
        <v>-8.6</v>
      </c>
      <c r="O350" s="5" t="s">
        <v>46</v>
      </c>
    </row>
    <row r="351" spans="1:15">
      <c r="A351" s="5" t="s">
        <v>587</v>
      </c>
      <c r="B351" s="5" t="s">
        <v>587</v>
      </c>
      <c r="C351" s="5" t="s">
        <v>699</v>
      </c>
      <c r="D351" s="5" t="s">
        <v>762</v>
      </c>
      <c r="E351" s="5" t="s">
        <v>763</v>
      </c>
      <c r="F351" s="6">
        <v>109</v>
      </c>
      <c r="G351" s="6">
        <v>0</v>
      </c>
      <c r="H351" s="7">
        <f>IF(F351&gt;0,G351/F351,"n/a")</f>
        <v>0.0</v>
      </c>
      <c r="I351" s="6">
        <v>0</v>
      </c>
      <c r="J351" s="5" t="s">
        <v>67</v>
      </c>
      <c r="K351" s="6">
        <v>90</v>
      </c>
      <c r="L351" s="6">
        <v>36</v>
      </c>
      <c r="M351" s="7">
        <f>IF(K351&gt;0,L351/K351,"n/a")</f>
        <v>0.4</v>
      </c>
      <c r="N351" s="8">
        <f>IF(AND(F351&gt;0,K351&gt;0),(H351-M351)*100,"n/a")</f>
        <v>-40.0</v>
      </c>
      <c r="O351" s="5" t="s">
        <v>46</v>
      </c>
    </row>
    <row r="352" spans="1:15">
      <c r="A352" s="5" t="s">
        <v>587</v>
      </c>
      <c r="B352" s="5" t="s">
        <v>587</v>
      </c>
      <c r="C352" s="5" t="s">
        <v>699</v>
      </c>
      <c r="D352" s="5" t="s">
        <v>764</v>
      </c>
      <c r="E352" s="5" t="s">
        <v>765</v>
      </c>
      <c r="F352" s="6">
        <v>37</v>
      </c>
      <c r="G352" s="6">
        <v>21</v>
      </c>
      <c r="H352" s="7">
        <f>IF(F352&gt;0,G352/F352,"n/a")</f>
        <v>0.568</v>
      </c>
      <c r="I352" s="6">
        <v>0</v>
      </c>
      <c r="J352" s="5" t="s">
        <v>45</v>
      </c>
      <c r="K352" s="6">
        <v>31</v>
      </c>
      <c r="L352" s="6">
        <v>16</v>
      </c>
      <c r="M352" s="7">
        <f>IF(K352&gt;0,L352/K352,"n/a")</f>
        <v>0.516</v>
      </c>
      <c r="N352" s="8">
        <f>IF(AND(F352&gt;0,K352&gt;0),(H352-M352)*100,"n/a")</f>
        <v>5.1</v>
      </c>
      <c r="O352" s="5" t="s">
        <v>46</v>
      </c>
    </row>
    <row r="353" spans="1:15">
      <c r="A353" s="5" t="s">
        <v>587</v>
      </c>
      <c r="B353" s="5" t="s">
        <v>587</v>
      </c>
      <c r="C353" s="5" t="s">
        <v>766</v>
      </c>
      <c r="D353" s="5" t="s">
        <v>767</v>
      </c>
      <c r="E353" s="5" t="s">
        <v>768</v>
      </c>
      <c r="F353" s="6">
        <v>44</v>
      </c>
      <c r="G353" s="6">
        <v>44</v>
      </c>
      <c r="H353" s="7">
        <f>IF(F353&gt;0,G353/F353,"n/a")</f>
        <v>1.0</v>
      </c>
      <c r="I353" s="6">
        <v>0</v>
      </c>
      <c r="J353" s="5" t="s">
        <v>19</v>
      </c>
      <c r="K353" s="6">
        <v>17</v>
      </c>
      <c r="L353" s="6">
        <v>17</v>
      </c>
      <c r="M353" s="7">
        <f>IF(K353&gt;0,L353/K353,"n/a")</f>
        <v>1.0</v>
      </c>
      <c r="N353" s="8">
        <f>IF(AND(F353&gt;0,K353&gt;0),(H353-M353)*100,"n/a")</f>
        <v>0.0</v>
      </c>
      <c r="O353" s="5" t="s">
        <v>20</v>
      </c>
    </row>
    <row r="354" spans="1:15">
      <c r="A354" s="5" t="s">
        <v>587</v>
      </c>
      <c r="B354" s="5" t="s">
        <v>587</v>
      </c>
      <c r="C354" s="5" t="s">
        <v>766</v>
      </c>
      <c r="D354" s="5" t="s">
        <v>769</v>
      </c>
      <c r="E354" s="5" t="s">
        <v>770</v>
      </c>
      <c r="F354" s="6">
        <v>2</v>
      </c>
      <c r="G354" s="6">
        <v>2</v>
      </c>
      <c r="H354" s="7">
        <f>IF(F354&gt;0,G354/F354,"n/a")</f>
        <v>1.0</v>
      </c>
      <c r="I354" s="6">
        <v>0</v>
      </c>
      <c r="J354" s="5" t="s">
        <v>19</v>
      </c>
      <c r="K354" s="6">
        <v>3</v>
      </c>
      <c r="L354" s="6">
        <v>3</v>
      </c>
      <c r="M354" s="7">
        <f>IF(K354&gt;0,L354/K354,"n/a")</f>
        <v>1.0</v>
      </c>
      <c r="N354" s="8">
        <f>IF(AND(F354&gt;0,K354&gt;0),(H354-M354)*100,"n/a")</f>
        <v>0.0</v>
      </c>
      <c r="O354" s="5" t="s">
        <v>20</v>
      </c>
    </row>
    <row r="355" spans="1:15">
      <c r="A355" s="5" t="s">
        <v>587</v>
      </c>
      <c r="B355" s="5" t="s">
        <v>587</v>
      </c>
      <c r="C355" s="5" t="s">
        <v>766</v>
      </c>
      <c r="D355" s="5" t="s">
        <v>771</v>
      </c>
      <c r="E355" s="5" t="s">
        <v>772</v>
      </c>
      <c r="F355" s="6">
        <v>18</v>
      </c>
      <c r="G355" s="6">
        <v>0</v>
      </c>
      <c r="H355" s="7">
        <f>IF(F355&gt;0,G355/F355,"n/a")</f>
        <v>0.0</v>
      </c>
      <c r="I355" s="6">
        <v>0</v>
      </c>
      <c r="J355" s="5" t="s">
        <v>67</v>
      </c>
      <c r="K355" s="6">
        <v>21</v>
      </c>
      <c r="L355" s="6">
        <v>21</v>
      </c>
      <c r="M355" s="7">
        <f>IF(K355&gt;0,L355/K355,"n/a")</f>
        <v>1.0</v>
      </c>
      <c r="N355" s="8">
        <f>IF(AND(F355&gt;0,K355&gt;0),(H355-M355)*100,"n/a")</f>
        <v>-100.0</v>
      </c>
      <c r="O355" s="5" t="s">
        <v>68</v>
      </c>
    </row>
    <row r="356" spans="1:15">
      <c r="A356" s="5" t="s">
        <v>587</v>
      </c>
      <c r="B356" s="5" t="s">
        <v>587</v>
      </c>
      <c r="C356" s="5" t="s">
        <v>766</v>
      </c>
      <c r="D356" s="5" t="s">
        <v>766</v>
      </c>
      <c r="E356" s="5" t="s">
        <v>773</v>
      </c>
      <c r="F356" s="6">
        <v>14</v>
      </c>
      <c r="G356" s="6">
        <v>13</v>
      </c>
      <c r="H356" s="7">
        <f>IF(F356&gt;0,G356/F356,"n/a")</f>
        <v>0.929</v>
      </c>
      <c r="I356" s="6">
        <v>0</v>
      </c>
      <c r="J356" s="5" t="s">
        <v>19</v>
      </c>
      <c r="K356" s="6">
        <v>16</v>
      </c>
      <c r="L356" s="6">
        <v>16</v>
      </c>
      <c r="M356" s="7">
        <f>IF(K356&gt;0,L356/K356,"n/a")</f>
        <v>1.0</v>
      </c>
      <c r="N356" s="8">
        <f>IF(AND(F356&gt;0,K356&gt;0),(H356-M356)*100,"n/a")</f>
        <v>-7.1</v>
      </c>
      <c r="O356" s="5" t="s">
        <v>20</v>
      </c>
    </row>
    <row r="357" spans="1:15">
      <c r="A357" s="5" t="s">
        <v>587</v>
      </c>
      <c r="B357" s="5" t="s">
        <v>587</v>
      </c>
      <c r="C357" s="5" t="s">
        <v>766</v>
      </c>
      <c r="D357" s="5" t="s">
        <v>774</v>
      </c>
      <c r="E357" s="5" t="s">
        <v>775</v>
      </c>
      <c r="F357" s="6">
        <v>17</v>
      </c>
      <c r="G357" s="6">
        <v>14</v>
      </c>
      <c r="H357" s="7">
        <f>IF(F357&gt;0,G357/F357,"n/a")</f>
        <v>0.8240000000000001</v>
      </c>
      <c r="I357" s="6">
        <v>0</v>
      </c>
      <c r="J357" s="5" t="s">
        <v>19</v>
      </c>
      <c r="K357" s="6">
        <v>14</v>
      </c>
      <c r="L357" s="6">
        <v>14</v>
      </c>
      <c r="M357" s="7">
        <f>IF(K357&gt;0,L357/K357,"n/a")</f>
        <v>1.0</v>
      </c>
      <c r="N357" s="8">
        <f>IF(AND(F357&gt;0,K357&gt;0),(H357-M357)*100,"n/a")</f>
        <v>-17.6</v>
      </c>
      <c r="O357" s="5" t="s">
        <v>20</v>
      </c>
    </row>
    <row r="358" spans="1:15">
      <c r="A358" s="5" t="s">
        <v>587</v>
      </c>
      <c r="B358" s="5" t="s">
        <v>587</v>
      </c>
      <c r="C358" s="5" t="s">
        <v>766</v>
      </c>
      <c r="D358" s="5" t="s">
        <v>776</v>
      </c>
      <c r="E358" s="5" t="s">
        <v>777</v>
      </c>
      <c r="F358" s="6">
        <v>34</v>
      </c>
      <c r="G358" s="6">
        <v>33</v>
      </c>
      <c r="H358" s="7">
        <f>IF(F358&gt;0,G358/F358,"n/a")</f>
        <v>0.971</v>
      </c>
      <c r="I358" s="6">
        <v>0</v>
      </c>
      <c r="J358" s="5" t="s">
        <v>19</v>
      </c>
      <c r="K358" s="6">
        <v>15</v>
      </c>
      <c r="L358" s="6">
        <v>15</v>
      </c>
      <c r="M358" s="7">
        <f>IF(K358&gt;0,L358/K358,"n/a")</f>
        <v>1.0</v>
      </c>
      <c r="N358" s="8">
        <f>IF(AND(F358&gt;0,K358&gt;0),(H358-M358)*100,"n/a")</f>
        <v>-2.9</v>
      </c>
      <c r="O358" s="5" t="s">
        <v>20</v>
      </c>
    </row>
    <row r="359" spans="1:15">
      <c r="A359" s="5" t="s">
        <v>587</v>
      </c>
      <c r="B359" s="5" t="s">
        <v>587</v>
      </c>
      <c r="C359" s="5" t="s">
        <v>778</v>
      </c>
      <c r="D359" s="5" t="s">
        <v>779</v>
      </c>
      <c r="E359" s="5" t="s">
        <v>780</v>
      </c>
      <c r="F359" s="6">
        <v>206</v>
      </c>
      <c r="G359" s="6">
        <v>191</v>
      </c>
      <c r="H359" s="7">
        <f>IF(F359&gt;0,G359/F359,"n/a")</f>
        <v>0.927</v>
      </c>
      <c r="I359" s="6">
        <v>0</v>
      </c>
      <c r="J359" s="5" t="s">
        <v>19</v>
      </c>
      <c r="K359" s="6">
        <v>171</v>
      </c>
      <c r="L359" s="6">
        <v>107</v>
      </c>
      <c r="M359" s="7">
        <f>IF(K359&gt;0,L359/K359,"n/a")</f>
        <v>0.626</v>
      </c>
      <c r="N359" s="8">
        <f>IF(AND(F359&gt;0,K359&gt;0),(H359-M359)*100,"n/a")</f>
        <v>30.1</v>
      </c>
      <c r="O359" s="5" t="s">
        <v>23</v>
      </c>
    </row>
    <row r="360" spans="1:15">
      <c r="A360" s="5" t="s">
        <v>587</v>
      </c>
      <c r="B360" s="5" t="s">
        <v>587</v>
      </c>
      <c r="C360" s="5" t="s">
        <v>778</v>
      </c>
      <c r="D360" s="5" t="s">
        <v>781</v>
      </c>
      <c r="E360" s="5" t="s">
        <v>782</v>
      </c>
      <c r="F360" s="6">
        <v>289</v>
      </c>
      <c r="G360" s="6">
        <v>302</v>
      </c>
      <c r="H360" s="7">
        <f>IF(F360&gt;0,G360/F360,"n/a")</f>
        <v>1.045</v>
      </c>
      <c r="I360" s="6">
        <v>0</v>
      </c>
      <c r="J360" s="5" t="s">
        <v>19</v>
      </c>
      <c r="K360" s="6">
        <v>255</v>
      </c>
      <c r="L360" s="6">
        <v>27</v>
      </c>
      <c r="M360" s="7">
        <f>IF(K360&gt;0,L360/K360,"n/a")</f>
        <v>0.106</v>
      </c>
      <c r="N360" s="8">
        <f>IF(AND(F360&gt;0,K360&gt;0),(H360-M360)*100,"n/a")</f>
        <v>93.9</v>
      </c>
      <c r="O360" s="5" t="s">
        <v>23</v>
      </c>
    </row>
    <row r="361" spans="1:15">
      <c r="A361" s="5" t="s">
        <v>587</v>
      </c>
      <c r="B361" s="5" t="s">
        <v>587</v>
      </c>
      <c r="C361" s="5" t="s">
        <v>778</v>
      </c>
      <c r="D361" s="5" t="s">
        <v>783</v>
      </c>
      <c r="E361" s="5" t="s">
        <v>784</v>
      </c>
      <c r="F361" s="6">
        <v>383</v>
      </c>
      <c r="G361" s="6">
        <v>387</v>
      </c>
      <c r="H361" s="7">
        <f>IF(F361&gt;0,G361/F361,"n/a")</f>
        <v>1.01</v>
      </c>
      <c r="I361" s="6">
        <v>0</v>
      </c>
      <c r="J361" s="5" t="s">
        <v>19</v>
      </c>
      <c r="K361" s="6">
        <v>265</v>
      </c>
      <c r="L361" s="6">
        <v>118</v>
      </c>
      <c r="M361" s="7">
        <f>IF(K361&gt;0,L361/K361,"n/a")</f>
        <v>0.445</v>
      </c>
      <c r="N361" s="8">
        <f>IF(AND(F361&gt;0,K361&gt;0),(H361-M361)*100,"n/a")</f>
        <v>56.5</v>
      </c>
      <c r="O361" s="5" t="s">
        <v>23</v>
      </c>
    </row>
    <row r="362" spans="1:15">
      <c r="A362" s="5" t="s">
        <v>587</v>
      </c>
      <c r="B362" s="5" t="s">
        <v>587</v>
      </c>
      <c r="C362" s="5" t="s">
        <v>778</v>
      </c>
      <c r="D362" s="5" t="s">
        <v>778</v>
      </c>
      <c r="E362" s="5" t="s">
        <v>785</v>
      </c>
      <c r="F362" s="6">
        <v>354</v>
      </c>
      <c r="G362" s="6">
        <v>353</v>
      </c>
      <c r="H362" s="7">
        <f>IF(F362&gt;0,G362/F362,"n/a")</f>
        <v>0.997</v>
      </c>
      <c r="I362" s="6">
        <v>0</v>
      </c>
      <c r="J362" s="5" t="s">
        <v>19</v>
      </c>
      <c r="K362" s="6">
        <v>208</v>
      </c>
      <c r="L362" s="6">
        <v>71</v>
      </c>
      <c r="M362" s="7">
        <f>IF(K362&gt;0,L362/K362,"n/a")</f>
        <v>0.341</v>
      </c>
      <c r="N362" s="8">
        <f>IF(AND(F362&gt;0,K362&gt;0),(H362-M362)*100,"n/a")</f>
        <v>65.6</v>
      </c>
      <c r="O362" s="5" t="s">
        <v>23</v>
      </c>
    </row>
    <row r="363" spans="1:15">
      <c r="A363" s="5" t="s">
        <v>587</v>
      </c>
      <c r="B363" s="5" t="s">
        <v>587</v>
      </c>
      <c r="C363" s="5" t="s">
        <v>778</v>
      </c>
      <c r="D363" s="5" t="s">
        <v>786</v>
      </c>
      <c r="E363" s="5" t="s">
        <v>787</v>
      </c>
      <c r="F363" s="6">
        <v>277</v>
      </c>
      <c r="G363" s="6">
        <v>265</v>
      </c>
      <c r="H363" s="7">
        <f>IF(F363&gt;0,G363/F363,"n/a")</f>
        <v>0.9570000000000001</v>
      </c>
      <c r="I363" s="6">
        <v>0</v>
      </c>
      <c r="J363" s="5" t="s">
        <v>19</v>
      </c>
      <c r="K363" s="6">
        <v>176</v>
      </c>
      <c r="L363" s="6">
        <v>106</v>
      </c>
      <c r="M363" s="7">
        <f>IF(K363&gt;0,L363/K363,"n/a")</f>
        <v>0.602</v>
      </c>
      <c r="N363" s="8">
        <f>IF(AND(F363&gt;0,K363&gt;0),(H363-M363)*100,"n/a")</f>
        <v>35.4</v>
      </c>
      <c r="O363" s="5" t="s">
        <v>23</v>
      </c>
    </row>
    <row r="364" spans="1:15">
      <c r="A364" s="5" t="s">
        <v>587</v>
      </c>
      <c r="B364" s="5" t="s">
        <v>587</v>
      </c>
      <c r="C364" s="5" t="s">
        <v>778</v>
      </c>
      <c r="D364" s="5" t="s">
        <v>788</v>
      </c>
      <c r="E364" s="5" t="s">
        <v>789</v>
      </c>
      <c r="F364" s="6">
        <v>298</v>
      </c>
      <c r="G364" s="6">
        <v>189</v>
      </c>
      <c r="H364" s="7">
        <f>IF(F364&gt;0,G364/F364,"n/a")</f>
        <v>0.634</v>
      </c>
      <c r="I364" s="6">
        <v>0</v>
      </c>
      <c r="J364" s="5" t="s">
        <v>45</v>
      </c>
      <c r="K364" s="6">
        <v>211</v>
      </c>
      <c r="L364" s="6">
        <v>95</v>
      </c>
      <c r="M364" s="7">
        <f>IF(K364&gt;0,L364/K364,"n/a")</f>
        <v>0.45</v>
      </c>
      <c r="N364" s="8">
        <f>IF(AND(F364&gt;0,K364&gt;0),(H364-M364)*100,"n/a")</f>
        <v>18.4</v>
      </c>
      <c r="O364" s="5" t="s">
        <v>46</v>
      </c>
    </row>
    <row r="365" spans="1:15">
      <c r="A365" s="5" t="s">
        <v>587</v>
      </c>
      <c r="B365" s="5" t="s">
        <v>587</v>
      </c>
      <c r="C365" s="5" t="s">
        <v>778</v>
      </c>
      <c r="D365" s="5" t="s">
        <v>790</v>
      </c>
      <c r="E365" s="5" t="s">
        <v>791</v>
      </c>
      <c r="F365" s="6">
        <v>277</v>
      </c>
      <c r="G365" s="6">
        <v>146</v>
      </c>
      <c r="H365" s="7">
        <f>IF(F365&gt;0,G365/F365,"n/a")</f>
        <v>0.527</v>
      </c>
      <c r="I365" s="6">
        <v>0</v>
      </c>
      <c r="J365" s="5" t="s">
        <v>45</v>
      </c>
      <c r="K365" s="6">
        <v>206</v>
      </c>
      <c r="L365" s="6">
        <v>66</v>
      </c>
      <c r="M365" s="7">
        <f>IF(K365&gt;0,L365/K365,"n/a")</f>
        <v>0.32</v>
      </c>
      <c r="N365" s="8">
        <f>IF(AND(F365&gt;0,K365&gt;0),(H365-M365)*100,"n/a")</f>
        <v>20.7</v>
      </c>
      <c r="O365" s="5" t="s">
        <v>46</v>
      </c>
    </row>
    <row r="366" spans="1:15">
      <c r="A366" s="5" t="s">
        <v>587</v>
      </c>
      <c r="B366" s="5" t="s">
        <v>587</v>
      </c>
      <c r="C366" s="5" t="s">
        <v>778</v>
      </c>
      <c r="D366" s="5" t="s">
        <v>792</v>
      </c>
      <c r="E366" s="5" t="s">
        <v>793</v>
      </c>
      <c r="F366" s="6">
        <v>215</v>
      </c>
      <c r="G366" s="6">
        <v>151</v>
      </c>
      <c r="H366" s="7">
        <f>IF(F366&gt;0,G366/F366,"n/a")</f>
        <v>0.7020000000000001</v>
      </c>
      <c r="I366" s="6">
        <v>0</v>
      </c>
      <c r="J366" s="5" t="s">
        <v>45</v>
      </c>
      <c r="K366" s="6">
        <v>172</v>
      </c>
      <c r="L366" s="6">
        <v>39</v>
      </c>
      <c r="M366" s="7">
        <f>IF(K366&gt;0,L366/K366,"n/a")</f>
        <v>0.22699999999999998</v>
      </c>
      <c r="N366" s="8">
        <f>IF(AND(F366&gt;0,K366&gt;0),(H366-M366)*100,"n/a")</f>
        <v>47.6</v>
      </c>
      <c r="O366" s="5" t="s">
        <v>46</v>
      </c>
    </row>
    <row r="367" spans="1:15">
      <c r="A367" s="5" t="s">
        <v>587</v>
      </c>
      <c r="B367" s="5" t="s">
        <v>587</v>
      </c>
      <c r="C367" s="5" t="s">
        <v>778</v>
      </c>
      <c r="D367" s="5" t="s">
        <v>794</v>
      </c>
      <c r="E367" s="5" t="s">
        <v>795</v>
      </c>
      <c r="F367" s="6">
        <v>206</v>
      </c>
      <c r="G367" s="6">
        <v>211</v>
      </c>
      <c r="H367" s="7">
        <f>IF(F367&gt;0,G367/F367,"n/a")</f>
        <v>1.024</v>
      </c>
      <c r="I367" s="6">
        <v>0</v>
      </c>
      <c r="J367" s="5" t="s">
        <v>19</v>
      </c>
      <c r="K367" s="6">
        <v>166</v>
      </c>
      <c r="L367" s="6">
        <v>72</v>
      </c>
      <c r="M367" s="7">
        <f>IF(K367&gt;0,L367/K367,"n/a")</f>
        <v>0.434</v>
      </c>
      <c r="N367" s="8">
        <f>IF(AND(F367&gt;0,K367&gt;0),(H367-M367)*100,"n/a")</f>
        <v>59.1</v>
      </c>
      <c r="O367" s="5" t="s">
        <v>23</v>
      </c>
    </row>
    <row r="368" spans="1:15">
      <c r="A368" s="5" t="s">
        <v>587</v>
      </c>
      <c r="B368" s="5" t="s">
        <v>587</v>
      </c>
      <c r="C368" s="5" t="s">
        <v>796</v>
      </c>
      <c r="D368" s="5" t="s">
        <v>797</v>
      </c>
      <c r="E368" s="5" t="s">
        <v>798</v>
      </c>
      <c r="F368" s="6">
        <v>148</v>
      </c>
      <c r="G368" s="6">
        <v>148</v>
      </c>
      <c r="H368" s="7">
        <f>IF(F368&gt;0,G368/F368,"n/a")</f>
        <v>1.0</v>
      </c>
      <c r="I368" s="6">
        <v>0</v>
      </c>
      <c r="J368" s="5" t="s">
        <v>19</v>
      </c>
      <c r="K368" s="6">
        <v>102</v>
      </c>
      <c r="L368" s="6">
        <v>45</v>
      </c>
      <c r="M368" s="7">
        <f>IF(K368&gt;0,L368/K368,"n/a")</f>
        <v>0.441</v>
      </c>
      <c r="N368" s="8">
        <f>IF(AND(F368&gt;0,K368&gt;0),(H368-M368)*100,"n/a")</f>
        <v>55.9</v>
      </c>
      <c r="O368" s="5" t="s">
        <v>23</v>
      </c>
    </row>
    <row r="369" spans="1:15">
      <c r="A369" s="5" t="s">
        <v>587</v>
      </c>
      <c r="B369" s="5" t="s">
        <v>587</v>
      </c>
      <c r="C369" s="5" t="s">
        <v>796</v>
      </c>
      <c r="D369" s="5" t="s">
        <v>799</v>
      </c>
      <c r="E369" s="5" t="s">
        <v>800</v>
      </c>
      <c r="F369" s="6">
        <v>232</v>
      </c>
      <c r="G369" s="6">
        <v>234</v>
      </c>
      <c r="H369" s="7">
        <f>IF(F369&gt;0,G369/F369,"n/a")</f>
        <v>1.0090000000000001</v>
      </c>
      <c r="I369" s="6">
        <v>0</v>
      </c>
      <c r="J369" s="5" t="s">
        <v>19</v>
      </c>
      <c r="K369" s="6">
        <v>160</v>
      </c>
      <c r="L369" s="6">
        <v>63</v>
      </c>
      <c r="M369" s="7">
        <f>IF(K369&gt;0,L369/K369,"n/a")</f>
        <v>0.39399999999999996</v>
      </c>
      <c r="N369" s="8">
        <f>IF(AND(F369&gt;0,K369&gt;0),(H369-M369)*100,"n/a")</f>
        <v>61.5</v>
      </c>
      <c r="O369" s="5" t="s">
        <v>23</v>
      </c>
    </row>
    <row r="370" spans="1:15">
      <c r="A370" s="5" t="s">
        <v>587</v>
      </c>
      <c r="B370" s="5" t="s">
        <v>587</v>
      </c>
      <c r="C370" s="5" t="s">
        <v>796</v>
      </c>
      <c r="D370" s="5" t="s">
        <v>801</v>
      </c>
      <c r="E370" s="5" t="s">
        <v>802</v>
      </c>
      <c r="F370" s="6">
        <v>145</v>
      </c>
      <c r="G370" s="6">
        <v>145</v>
      </c>
      <c r="H370" s="7">
        <f>IF(F370&gt;0,G370/F370,"n/a")</f>
        <v>1.0</v>
      </c>
      <c r="I370" s="6">
        <v>0</v>
      </c>
      <c r="J370" s="5" t="s">
        <v>19</v>
      </c>
      <c r="K370" s="6">
        <v>110</v>
      </c>
      <c r="L370" s="6">
        <v>49</v>
      </c>
      <c r="M370" s="7">
        <f>IF(K370&gt;0,L370/K370,"n/a")</f>
        <v>0.445</v>
      </c>
      <c r="N370" s="8">
        <f>IF(AND(F370&gt;0,K370&gt;0),(H370-M370)*100,"n/a")</f>
        <v>55.5</v>
      </c>
      <c r="O370" s="5" t="s">
        <v>23</v>
      </c>
    </row>
    <row r="371" spans="1:15">
      <c r="A371" s="5" t="s">
        <v>587</v>
      </c>
      <c r="B371" s="5" t="s">
        <v>587</v>
      </c>
      <c r="C371" s="5" t="s">
        <v>796</v>
      </c>
      <c r="D371" s="5" t="s">
        <v>803</v>
      </c>
      <c r="E371" s="5" t="s">
        <v>804</v>
      </c>
      <c r="F371" s="6">
        <v>186</v>
      </c>
      <c r="G371" s="6">
        <v>186</v>
      </c>
      <c r="H371" s="7">
        <f>IF(F371&gt;0,G371/F371,"n/a")</f>
        <v>1.0</v>
      </c>
      <c r="I371" s="6">
        <v>0</v>
      </c>
      <c r="J371" s="5" t="s">
        <v>19</v>
      </c>
      <c r="K371" s="6">
        <v>146</v>
      </c>
      <c r="L371" s="6">
        <v>47</v>
      </c>
      <c r="M371" s="7">
        <f>IF(K371&gt;0,L371/K371,"n/a")</f>
        <v>0.322</v>
      </c>
      <c r="N371" s="8">
        <f>IF(AND(F371&gt;0,K371&gt;0),(H371-M371)*100,"n/a")</f>
        <v>67.8</v>
      </c>
      <c r="O371" s="5" t="s">
        <v>23</v>
      </c>
    </row>
    <row r="372" spans="1:15">
      <c r="A372" s="5" t="s">
        <v>587</v>
      </c>
      <c r="B372" s="5" t="s">
        <v>587</v>
      </c>
      <c r="C372" s="5" t="s">
        <v>796</v>
      </c>
      <c r="D372" s="5" t="s">
        <v>805</v>
      </c>
      <c r="E372" s="5" t="s">
        <v>806</v>
      </c>
      <c r="F372" s="6">
        <v>135</v>
      </c>
      <c r="G372" s="6">
        <v>135</v>
      </c>
      <c r="H372" s="7">
        <f>IF(F372&gt;0,G372/F372,"n/a")</f>
        <v>1.0</v>
      </c>
      <c r="I372" s="6">
        <v>0</v>
      </c>
      <c r="J372" s="5" t="s">
        <v>19</v>
      </c>
      <c r="K372" s="6">
        <v>75</v>
      </c>
      <c r="L372" s="6">
        <v>47</v>
      </c>
      <c r="M372" s="7">
        <f>IF(K372&gt;0,L372/K372,"n/a")</f>
        <v>0.627</v>
      </c>
      <c r="N372" s="8">
        <f>IF(AND(F372&gt;0,K372&gt;0),(H372-M372)*100,"n/a")</f>
        <v>37.3</v>
      </c>
      <c r="O372" s="5" t="s">
        <v>23</v>
      </c>
    </row>
    <row r="373" spans="1:15">
      <c r="A373" s="5" t="s">
        <v>587</v>
      </c>
      <c r="B373" s="5" t="s">
        <v>587</v>
      </c>
      <c r="C373" s="5" t="s">
        <v>796</v>
      </c>
      <c r="D373" s="5" t="s">
        <v>807</v>
      </c>
      <c r="E373" s="5" t="s">
        <v>808</v>
      </c>
      <c r="F373" s="6">
        <v>216</v>
      </c>
      <c r="G373" s="6">
        <v>217</v>
      </c>
      <c r="H373" s="7">
        <f>IF(F373&gt;0,G373/F373,"n/a")</f>
        <v>1.005</v>
      </c>
      <c r="I373" s="6">
        <v>0</v>
      </c>
      <c r="J373" s="5" t="s">
        <v>19</v>
      </c>
      <c r="K373" s="6">
        <v>175</v>
      </c>
      <c r="L373" s="6">
        <v>45</v>
      </c>
      <c r="M373" s="7">
        <f>IF(K373&gt;0,L373/K373,"n/a")</f>
        <v>0.257</v>
      </c>
      <c r="N373" s="8">
        <f>IF(AND(F373&gt;0,K373&gt;0),(H373-M373)*100,"n/a")</f>
        <v>74.7</v>
      </c>
      <c r="O373" s="5" t="s">
        <v>23</v>
      </c>
    </row>
    <row r="374" spans="1:15">
      <c r="A374" s="5" t="s">
        <v>587</v>
      </c>
      <c r="B374" s="5" t="s">
        <v>587</v>
      </c>
      <c r="C374" s="5" t="s">
        <v>796</v>
      </c>
      <c r="D374" s="5" t="s">
        <v>809</v>
      </c>
      <c r="E374" s="5" t="s">
        <v>810</v>
      </c>
      <c r="F374" s="6">
        <v>195</v>
      </c>
      <c r="G374" s="6">
        <v>195</v>
      </c>
      <c r="H374" s="7">
        <f>IF(F374&gt;0,G374/F374,"n/a")</f>
        <v>1.0</v>
      </c>
      <c r="I374" s="6">
        <v>0</v>
      </c>
      <c r="J374" s="5" t="s">
        <v>19</v>
      </c>
      <c r="K374" s="6">
        <v>149</v>
      </c>
      <c r="L374" s="6">
        <v>111</v>
      </c>
      <c r="M374" s="7">
        <f>IF(K374&gt;0,L374/K374,"n/a")</f>
        <v>0.745</v>
      </c>
      <c r="N374" s="8">
        <f>IF(AND(F374&gt;0,K374&gt;0),(H374-M374)*100,"n/a")</f>
        <v>25.5</v>
      </c>
      <c r="O374" s="5" t="s">
        <v>23</v>
      </c>
    </row>
    <row r="375" spans="1:15">
      <c r="A375" s="5" t="s">
        <v>587</v>
      </c>
      <c r="B375" s="5" t="s">
        <v>587</v>
      </c>
      <c r="C375" s="5" t="s">
        <v>796</v>
      </c>
      <c r="D375" s="5" t="s">
        <v>811</v>
      </c>
      <c r="E375" s="5" t="s">
        <v>812</v>
      </c>
      <c r="F375" s="6">
        <v>142</v>
      </c>
      <c r="G375" s="6">
        <v>127</v>
      </c>
      <c r="H375" s="7">
        <f>IF(F375&gt;0,G375/F375,"n/a")</f>
        <v>0.894</v>
      </c>
      <c r="I375" s="6">
        <v>0</v>
      </c>
      <c r="J375" s="5" t="s">
        <v>19</v>
      </c>
      <c r="K375" s="6">
        <v>119</v>
      </c>
      <c r="L375" s="6">
        <v>56</v>
      </c>
      <c r="M375" s="7">
        <f>IF(K375&gt;0,L375/K375,"n/a")</f>
        <v>0.47100000000000003</v>
      </c>
      <c r="N375" s="8">
        <f>IF(AND(F375&gt;0,K375&gt;0),(H375-M375)*100,"n/a")</f>
        <v>42.4</v>
      </c>
      <c r="O375" s="5" t="s">
        <v>23</v>
      </c>
    </row>
    <row r="376" spans="1:15">
      <c r="A376" s="5" t="s">
        <v>587</v>
      </c>
      <c r="B376" s="5" t="s">
        <v>587</v>
      </c>
      <c r="C376" s="5" t="s">
        <v>796</v>
      </c>
      <c r="D376" s="5" t="s">
        <v>346</v>
      </c>
      <c r="E376" s="5" t="s">
        <v>813</v>
      </c>
      <c r="F376" s="6">
        <v>198</v>
      </c>
      <c r="G376" s="6">
        <v>199</v>
      </c>
      <c r="H376" s="7">
        <f>IF(F376&gt;0,G376/F376,"n/a")</f>
        <v>1.005</v>
      </c>
      <c r="I376" s="6">
        <v>0</v>
      </c>
      <c r="J376" s="5" t="s">
        <v>19</v>
      </c>
      <c r="K376" s="6">
        <v>124</v>
      </c>
      <c r="L376" s="6">
        <v>79</v>
      </c>
      <c r="M376" s="7">
        <f>IF(K376&gt;0,L376/K376,"n/a")</f>
        <v>0.637</v>
      </c>
      <c r="N376" s="8">
        <f>IF(AND(F376&gt;0,K376&gt;0),(H376-M376)*100,"n/a")</f>
        <v>36.8</v>
      </c>
      <c r="O376" s="5" t="s">
        <v>23</v>
      </c>
    </row>
    <row r="377" spans="1:15">
      <c r="A377" s="5" t="s">
        <v>587</v>
      </c>
      <c r="B377" s="5" t="s">
        <v>587</v>
      </c>
      <c r="C377" s="5" t="s">
        <v>796</v>
      </c>
      <c r="D377" s="5" t="s">
        <v>814</v>
      </c>
      <c r="E377" s="5" t="s">
        <v>815</v>
      </c>
      <c r="F377" s="6">
        <v>80</v>
      </c>
      <c r="G377" s="6">
        <v>84</v>
      </c>
      <c r="H377" s="7">
        <f>IF(F377&gt;0,G377/F377,"n/a")</f>
        <v>1.05</v>
      </c>
      <c r="I377" s="6">
        <v>0</v>
      </c>
      <c r="J377" s="5" t="s">
        <v>19</v>
      </c>
      <c r="K377" s="6">
        <v>76</v>
      </c>
      <c r="L377" s="6">
        <v>28</v>
      </c>
      <c r="M377" s="7">
        <f>IF(K377&gt;0,L377/K377,"n/a")</f>
        <v>0.368</v>
      </c>
      <c r="N377" s="8">
        <f>IF(AND(F377&gt;0,K377&gt;0),(H377-M377)*100,"n/a")</f>
        <v>68.2</v>
      </c>
      <c r="O377" s="5" t="s">
        <v>23</v>
      </c>
    </row>
    <row r="378" spans="1:15">
      <c r="A378" s="5" t="s">
        <v>587</v>
      </c>
      <c r="B378" s="5" t="s">
        <v>587</v>
      </c>
      <c r="C378" s="5" t="s">
        <v>796</v>
      </c>
      <c r="D378" s="5" t="s">
        <v>816</v>
      </c>
      <c r="E378" s="5" t="s">
        <v>817</v>
      </c>
      <c r="F378" s="6">
        <v>140</v>
      </c>
      <c r="G378" s="6">
        <v>100</v>
      </c>
      <c r="H378" s="7">
        <f>IF(F378&gt;0,G378/F378,"n/a")</f>
        <v>0.7140000000000001</v>
      </c>
      <c r="I378" s="6">
        <v>0</v>
      </c>
      <c r="J378" s="5" t="s">
        <v>45</v>
      </c>
      <c r="K378" s="6">
        <v>110</v>
      </c>
      <c r="L378" s="6">
        <v>36</v>
      </c>
      <c r="M378" s="7">
        <f>IF(K378&gt;0,L378/K378,"n/a")</f>
        <v>0.327</v>
      </c>
      <c r="N378" s="8">
        <f>IF(AND(F378&gt;0,K378&gt;0),(H378-M378)*100,"n/a")</f>
        <v>38.7</v>
      </c>
      <c r="O378" s="5" t="s">
        <v>46</v>
      </c>
    </row>
    <row r="379" spans="1:15">
      <c r="A379" s="5" t="s">
        <v>587</v>
      </c>
      <c r="B379" s="5" t="s">
        <v>587</v>
      </c>
      <c r="C379" s="5" t="s">
        <v>796</v>
      </c>
      <c r="D379" s="5" t="s">
        <v>818</v>
      </c>
      <c r="E379" s="5" t="s">
        <v>819</v>
      </c>
      <c r="F379" s="6">
        <v>102</v>
      </c>
      <c r="G379" s="6">
        <v>253</v>
      </c>
      <c r="H379" s="7">
        <f>IF(F379&gt;0,G379/F379,"n/a")</f>
        <v>2.48</v>
      </c>
      <c r="I379" s="6">
        <v>0</v>
      </c>
      <c r="J379" s="5" t="s">
        <v>26</v>
      </c>
      <c r="K379" s="6">
        <v>95</v>
      </c>
      <c r="L379" s="6">
        <v>41</v>
      </c>
      <c r="M379" s="7">
        <f>IF(K379&gt;0,L379/K379,"n/a")</f>
        <v>0.43200000000000005</v>
      </c>
      <c r="N379" s="8">
        <f>IF(AND(F379&gt;0,K379&gt;0),(H379-M379)*100,"n/a")</f>
        <v>204.9</v>
      </c>
      <c r="O379" s="5" t="s">
        <v>23</v>
      </c>
    </row>
    <row r="380" spans="1:15">
      <c r="A380" s="5" t="s">
        <v>587</v>
      </c>
      <c r="B380" s="5" t="s">
        <v>587</v>
      </c>
      <c r="C380" s="5" t="s">
        <v>796</v>
      </c>
      <c r="D380" s="5" t="s">
        <v>820</v>
      </c>
      <c r="E380" s="5" t="s">
        <v>821</v>
      </c>
      <c r="F380" s="6">
        <v>280</v>
      </c>
      <c r="G380" s="6">
        <v>285</v>
      </c>
      <c r="H380" s="7">
        <f>IF(F380&gt;0,G380/F380,"n/a")</f>
        <v>1.018</v>
      </c>
      <c r="I380" s="6">
        <v>0</v>
      </c>
      <c r="J380" s="5" t="s">
        <v>19</v>
      </c>
      <c r="K380" s="6">
        <v>113</v>
      </c>
      <c r="L380" s="6">
        <v>108</v>
      </c>
      <c r="M380" s="7">
        <f>IF(K380&gt;0,L380/K380,"n/a")</f>
        <v>0.956</v>
      </c>
      <c r="N380" s="8">
        <f>IF(AND(F380&gt;0,K380&gt;0),(H380-M380)*100,"n/a")</f>
        <v>6.2</v>
      </c>
      <c r="O380" s="5" t="s">
        <v>20</v>
      </c>
    </row>
    <row r="381" spans="1:15">
      <c r="A381" s="5" t="s">
        <v>587</v>
      </c>
      <c r="B381" s="5" t="s">
        <v>587</v>
      </c>
      <c r="C381" s="5" t="s">
        <v>796</v>
      </c>
      <c r="D381" s="5" t="s">
        <v>822</v>
      </c>
      <c r="E381" s="5" t="s">
        <v>823</v>
      </c>
      <c r="F381" s="6">
        <v>121</v>
      </c>
      <c r="G381" s="6">
        <v>124</v>
      </c>
      <c r="H381" s="7">
        <f>IF(F381&gt;0,G381/F381,"n/a")</f>
        <v>1.025</v>
      </c>
      <c r="I381" s="6">
        <v>0</v>
      </c>
      <c r="J381" s="5" t="s">
        <v>19</v>
      </c>
      <c r="K381" s="6">
        <v>62</v>
      </c>
      <c r="L381" s="6">
        <v>27</v>
      </c>
      <c r="M381" s="7">
        <f>IF(K381&gt;0,L381/K381,"n/a")</f>
        <v>0.435</v>
      </c>
      <c r="N381" s="8">
        <f>IF(AND(F381&gt;0,K381&gt;0),(H381-M381)*100,"n/a")</f>
        <v>58.9</v>
      </c>
      <c r="O381" s="5" t="s">
        <v>23</v>
      </c>
    </row>
    <row r="382" spans="1:15">
      <c r="A382" s="5" t="s">
        <v>587</v>
      </c>
      <c r="B382" s="5" t="s">
        <v>587</v>
      </c>
      <c r="C382" s="5" t="s">
        <v>796</v>
      </c>
      <c r="D382" s="5" t="s">
        <v>824</v>
      </c>
      <c r="E382" s="5" t="s">
        <v>825</v>
      </c>
      <c r="F382" s="6">
        <v>82</v>
      </c>
      <c r="G382" s="6">
        <v>82</v>
      </c>
      <c r="H382" s="7">
        <f>IF(F382&gt;0,G382/F382,"n/a")</f>
        <v>1.0</v>
      </c>
      <c r="I382" s="6">
        <v>0</v>
      </c>
      <c r="J382" s="5" t="s">
        <v>19</v>
      </c>
      <c r="K382" s="6">
        <v>60</v>
      </c>
      <c r="L382" s="6">
        <v>31</v>
      </c>
      <c r="M382" s="7">
        <f>IF(K382&gt;0,L382/K382,"n/a")</f>
        <v>0.517</v>
      </c>
      <c r="N382" s="8">
        <f>IF(AND(F382&gt;0,K382&gt;0),(H382-M382)*100,"n/a")</f>
        <v>48.3</v>
      </c>
      <c r="O382" s="5" t="s">
        <v>23</v>
      </c>
    </row>
    <row r="383" spans="1:15">
      <c r="A383" s="5" t="s">
        <v>587</v>
      </c>
      <c r="B383" s="5" t="s">
        <v>587</v>
      </c>
      <c r="C383" s="5" t="s">
        <v>826</v>
      </c>
      <c r="D383" s="5" t="s">
        <v>827</v>
      </c>
      <c r="E383" s="5" t="s">
        <v>828</v>
      </c>
      <c r="F383" s="6">
        <v>61</v>
      </c>
      <c r="G383" s="6">
        <v>61</v>
      </c>
      <c r="H383" s="7">
        <f>IF(F383&gt;0,G383/F383,"n/a")</f>
        <v>1.0</v>
      </c>
      <c r="I383" s="6">
        <v>0</v>
      </c>
      <c r="J383" s="5" t="s">
        <v>19</v>
      </c>
      <c r="K383" s="6">
        <v>54</v>
      </c>
      <c r="L383" s="6">
        <v>37</v>
      </c>
      <c r="M383" s="7">
        <f>IF(K383&gt;0,L383/K383,"n/a")</f>
        <v>0.685</v>
      </c>
      <c r="N383" s="8">
        <f>IF(AND(F383&gt;0,K383&gt;0),(H383-M383)*100,"n/a")</f>
        <v>31.5</v>
      </c>
      <c r="O383" s="5" t="s">
        <v>23</v>
      </c>
    </row>
    <row r="384" spans="1:15">
      <c r="A384" s="5" t="s">
        <v>587</v>
      </c>
      <c r="B384" s="5" t="s">
        <v>587</v>
      </c>
      <c r="C384" s="5" t="s">
        <v>826</v>
      </c>
      <c r="D384" s="5" t="s">
        <v>829</v>
      </c>
      <c r="E384" s="5" t="s">
        <v>830</v>
      </c>
      <c r="F384" s="6">
        <v>136</v>
      </c>
      <c r="G384" s="6">
        <v>118</v>
      </c>
      <c r="H384" s="7">
        <f>IF(F384&gt;0,G384/F384,"n/a")</f>
        <v>0.868</v>
      </c>
      <c r="I384" s="6">
        <v>0</v>
      </c>
      <c r="J384" s="5" t="s">
        <v>19</v>
      </c>
      <c r="K384" s="6">
        <v>107</v>
      </c>
      <c r="L384" s="6">
        <v>23</v>
      </c>
      <c r="M384" s="7">
        <f>IF(K384&gt;0,L384/K384,"n/a")</f>
        <v>0.215</v>
      </c>
      <c r="N384" s="8">
        <f>IF(AND(F384&gt;0,K384&gt;0),(H384-M384)*100,"n/a")</f>
        <v>65.3</v>
      </c>
      <c r="O384" s="5" t="s">
        <v>23</v>
      </c>
    </row>
    <row r="385" spans="1:15">
      <c r="A385" s="5" t="s">
        <v>587</v>
      </c>
      <c r="B385" s="5" t="s">
        <v>587</v>
      </c>
      <c r="C385" s="5" t="s">
        <v>826</v>
      </c>
      <c r="D385" s="5" t="s">
        <v>831</v>
      </c>
      <c r="E385" s="5" t="s">
        <v>832</v>
      </c>
      <c r="F385" s="6">
        <v>158</v>
      </c>
      <c r="G385" s="6">
        <v>159</v>
      </c>
      <c r="H385" s="7">
        <f>IF(F385&gt;0,G385/F385,"n/a")</f>
        <v>1.006</v>
      </c>
      <c r="I385" s="6">
        <v>0</v>
      </c>
      <c r="J385" s="5" t="s">
        <v>19</v>
      </c>
      <c r="K385" s="6">
        <v>120</v>
      </c>
      <c r="L385" s="6">
        <v>88</v>
      </c>
      <c r="M385" s="7">
        <f>IF(K385&gt;0,L385/K385,"n/a")</f>
        <v>0.733</v>
      </c>
      <c r="N385" s="8">
        <f>IF(AND(F385&gt;0,K385&gt;0),(H385-M385)*100,"n/a")</f>
        <v>27.3</v>
      </c>
      <c r="O385" s="5" t="s">
        <v>23</v>
      </c>
    </row>
    <row r="386" spans="1:15">
      <c r="A386" s="5" t="s">
        <v>587</v>
      </c>
      <c r="B386" s="5" t="s">
        <v>587</v>
      </c>
      <c r="C386" s="5" t="s">
        <v>826</v>
      </c>
      <c r="D386" s="5" t="s">
        <v>833</v>
      </c>
      <c r="E386" s="5" t="s">
        <v>834</v>
      </c>
      <c r="F386" s="6">
        <v>101</v>
      </c>
      <c r="G386" s="6">
        <v>109</v>
      </c>
      <c r="H386" s="7">
        <f>IF(F386&gt;0,G386/F386,"n/a")</f>
        <v>1.079</v>
      </c>
      <c r="I386" s="6">
        <v>0</v>
      </c>
      <c r="J386" s="5" t="s">
        <v>19</v>
      </c>
      <c r="K386" s="6">
        <v>73</v>
      </c>
      <c r="L386" s="6">
        <v>26</v>
      </c>
      <c r="M386" s="7">
        <f>IF(K386&gt;0,L386/K386,"n/a")</f>
        <v>0.35600000000000004</v>
      </c>
      <c r="N386" s="8">
        <f>IF(AND(F386&gt;0,K386&gt;0),(H386-M386)*100,"n/a")</f>
        <v>72.3</v>
      </c>
      <c r="O386" s="5" t="s">
        <v>23</v>
      </c>
    </row>
    <row r="387" spans="1:15">
      <c r="A387" s="5" t="s">
        <v>587</v>
      </c>
      <c r="B387" s="5" t="s">
        <v>587</v>
      </c>
      <c r="C387" s="5" t="s">
        <v>826</v>
      </c>
      <c r="D387" s="5" t="s">
        <v>835</v>
      </c>
      <c r="E387" s="5" t="s">
        <v>836</v>
      </c>
      <c r="F387" s="6">
        <v>86</v>
      </c>
      <c r="G387" s="6">
        <v>81</v>
      </c>
      <c r="H387" s="7">
        <f>IF(F387&gt;0,G387/F387,"n/a")</f>
        <v>0.9420000000000001</v>
      </c>
      <c r="I387" s="6">
        <v>0</v>
      </c>
      <c r="J387" s="5" t="s">
        <v>19</v>
      </c>
      <c r="K387" s="6">
        <v>47</v>
      </c>
      <c r="L387" s="6">
        <v>33</v>
      </c>
      <c r="M387" s="7">
        <f>IF(K387&gt;0,L387/K387,"n/a")</f>
        <v>0.7020000000000001</v>
      </c>
      <c r="N387" s="8">
        <f>IF(AND(F387&gt;0,K387&gt;0),(H387-M387)*100,"n/a")</f>
        <v>24.0</v>
      </c>
      <c r="O387" s="5" t="s">
        <v>23</v>
      </c>
    </row>
    <row r="388" spans="1:15">
      <c r="A388" s="5" t="s">
        <v>587</v>
      </c>
      <c r="B388" s="5" t="s">
        <v>587</v>
      </c>
      <c r="C388" s="5" t="s">
        <v>826</v>
      </c>
      <c r="D388" s="5" t="s">
        <v>837</v>
      </c>
      <c r="E388" s="5" t="s">
        <v>838</v>
      </c>
      <c r="F388" s="6">
        <v>298</v>
      </c>
      <c r="G388" s="6">
        <v>307</v>
      </c>
      <c r="H388" s="7">
        <f>IF(F388&gt;0,G388/F388,"n/a")</f>
        <v>1.03</v>
      </c>
      <c r="I388" s="6">
        <v>0</v>
      </c>
      <c r="J388" s="5" t="s">
        <v>19</v>
      </c>
      <c r="K388" s="6">
        <v>190</v>
      </c>
      <c r="L388" s="6">
        <v>90</v>
      </c>
      <c r="M388" s="7">
        <f>IF(K388&gt;0,L388/K388,"n/a")</f>
        <v>0.474</v>
      </c>
      <c r="N388" s="8">
        <f>IF(AND(F388&gt;0,K388&gt;0),(H388-M388)*100,"n/a")</f>
        <v>55.7</v>
      </c>
      <c r="O388" s="5" t="s">
        <v>23</v>
      </c>
    </row>
    <row r="389" spans="1:15">
      <c r="A389" s="5" t="s">
        <v>587</v>
      </c>
      <c r="B389" s="5" t="s">
        <v>587</v>
      </c>
      <c r="C389" s="5" t="s">
        <v>826</v>
      </c>
      <c r="D389" s="5" t="s">
        <v>839</v>
      </c>
      <c r="E389" s="5" t="s">
        <v>840</v>
      </c>
      <c r="F389" s="6">
        <v>70</v>
      </c>
      <c r="G389" s="6">
        <v>51</v>
      </c>
      <c r="H389" s="7">
        <f>IF(F389&gt;0,G389/F389,"n/a")</f>
        <v>0.7290000000000001</v>
      </c>
      <c r="I389" s="6">
        <v>0</v>
      </c>
      <c r="J389" s="5" t="s">
        <v>45</v>
      </c>
      <c r="K389" s="6">
        <v>83</v>
      </c>
      <c r="L389" s="6">
        <v>27</v>
      </c>
      <c r="M389" s="7">
        <f>IF(K389&gt;0,L389/K389,"n/a")</f>
        <v>0.325</v>
      </c>
      <c r="N389" s="8">
        <f>IF(AND(F389&gt;0,K389&gt;0),(H389-M389)*100,"n/a")</f>
        <v>40.3</v>
      </c>
      <c r="O389" s="5" t="s">
        <v>46</v>
      </c>
    </row>
    <row r="390" spans="1:15">
      <c r="A390" s="5" t="s">
        <v>587</v>
      </c>
      <c r="B390" s="5" t="s">
        <v>587</v>
      </c>
      <c r="C390" s="5" t="s">
        <v>826</v>
      </c>
      <c r="D390" s="5" t="s">
        <v>841</v>
      </c>
      <c r="E390" s="5" t="s">
        <v>842</v>
      </c>
      <c r="F390" s="6">
        <v>151</v>
      </c>
      <c r="G390" s="6">
        <v>146</v>
      </c>
      <c r="H390" s="7">
        <f>IF(F390&gt;0,G390/F390,"n/a")</f>
        <v>0.9670000000000001</v>
      </c>
      <c r="I390" s="6">
        <v>0</v>
      </c>
      <c r="J390" s="5" t="s">
        <v>19</v>
      </c>
      <c r="K390" s="6">
        <v>110</v>
      </c>
      <c r="L390" s="6">
        <v>45</v>
      </c>
      <c r="M390" s="7">
        <f>IF(K390&gt;0,L390/K390,"n/a")</f>
        <v>0.409</v>
      </c>
      <c r="N390" s="8">
        <f>IF(AND(F390&gt;0,K390&gt;0),(H390-M390)*100,"n/a")</f>
        <v>55.8</v>
      </c>
      <c r="O390" s="5" t="s">
        <v>23</v>
      </c>
    </row>
    <row r="391" spans="1:15">
      <c r="A391" s="5" t="s">
        <v>587</v>
      </c>
      <c r="B391" s="5" t="s">
        <v>587</v>
      </c>
      <c r="C391" s="5" t="s">
        <v>826</v>
      </c>
      <c r="D391" s="5" t="s">
        <v>843</v>
      </c>
      <c r="E391" s="5" t="s">
        <v>844</v>
      </c>
      <c r="F391" s="6">
        <v>249</v>
      </c>
      <c r="G391" s="6">
        <v>243</v>
      </c>
      <c r="H391" s="7">
        <f>IF(F391&gt;0,G391/F391,"n/a")</f>
        <v>0.976</v>
      </c>
      <c r="I391" s="6">
        <v>0</v>
      </c>
      <c r="J391" s="5" t="s">
        <v>19</v>
      </c>
      <c r="K391" s="6">
        <v>209</v>
      </c>
      <c r="L391" s="6">
        <v>65</v>
      </c>
      <c r="M391" s="7">
        <f>IF(K391&gt;0,L391/K391,"n/a")</f>
        <v>0.311</v>
      </c>
      <c r="N391" s="8">
        <f>IF(AND(F391&gt;0,K391&gt;0),(H391-M391)*100,"n/a")</f>
        <v>66.5</v>
      </c>
      <c r="O391" s="5" t="s">
        <v>23</v>
      </c>
    </row>
    <row r="392" spans="1:15">
      <c r="A392" s="5" t="s">
        <v>587</v>
      </c>
      <c r="B392" s="5" t="s">
        <v>587</v>
      </c>
      <c r="C392" s="5" t="s">
        <v>826</v>
      </c>
      <c r="D392" s="5" t="s">
        <v>845</v>
      </c>
      <c r="E392" s="5" t="s">
        <v>846</v>
      </c>
      <c r="F392" s="6">
        <v>168</v>
      </c>
      <c r="G392" s="6">
        <v>168</v>
      </c>
      <c r="H392" s="7">
        <f>IF(F392&gt;0,G392/F392,"n/a")</f>
        <v>1.0</v>
      </c>
      <c r="I392" s="6">
        <v>0</v>
      </c>
      <c r="J392" s="5" t="s">
        <v>19</v>
      </c>
      <c r="K392" s="6">
        <v>106</v>
      </c>
      <c r="L392" s="6">
        <v>74</v>
      </c>
      <c r="M392" s="7">
        <f>IF(K392&gt;0,L392/K392,"n/a")</f>
        <v>0.698</v>
      </c>
      <c r="N392" s="8">
        <f>IF(AND(F392&gt;0,K392&gt;0),(H392-M392)*100,"n/a")</f>
        <v>30.2</v>
      </c>
      <c r="O392" s="5" t="s">
        <v>23</v>
      </c>
    </row>
    <row r="393" spans="1:15">
      <c r="A393" s="5" t="s">
        <v>587</v>
      </c>
      <c r="B393" s="5" t="s">
        <v>587</v>
      </c>
      <c r="C393" s="5" t="s">
        <v>826</v>
      </c>
      <c r="D393" s="5" t="s">
        <v>847</v>
      </c>
      <c r="E393" s="5" t="s">
        <v>848</v>
      </c>
      <c r="F393" s="6">
        <v>279</v>
      </c>
      <c r="G393" s="6">
        <v>279</v>
      </c>
      <c r="H393" s="7">
        <f>IF(F393&gt;0,G393/F393,"n/a")</f>
        <v>1.0</v>
      </c>
      <c r="I393" s="6">
        <v>0</v>
      </c>
      <c r="J393" s="5" t="s">
        <v>19</v>
      </c>
      <c r="K393" s="6">
        <v>173</v>
      </c>
      <c r="L393" s="6">
        <v>68</v>
      </c>
      <c r="M393" s="7">
        <f>IF(K393&gt;0,L393/K393,"n/a")</f>
        <v>0.39299999999999996</v>
      </c>
      <c r="N393" s="8">
        <f>IF(AND(F393&gt;0,K393&gt;0),(H393-M393)*100,"n/a")</f>
        <v>60.7</v>
      </c>
      <c r="O393" s="5" t="s">
        <v>23</v>
      </c>
    </row>
    <row r="394" spans="1:15">
      <c r="A394" s="5" t="s">
        <v>587</v>
      </c>
      <c r="B394" s="5" t="s">
        <v>587</v>
      </c>
      <c r="C394" s="5" t="s">
        <v>826</v>
      </c>
      <c r="D394" s="5" t="s">
        <v>849</v>
      </c>
      <c r="E394" s="5" t="s">
        <v>850</v>
      </c>
      <c r="F394" s="6">
        <v>65</v>
      </c>
      <c r="G394" s="6">
        <v>65</v>
      </c>
      <c r="H394" s="7">
        <f>IF(F394&gt;0,G394/F394,"n/a")</f>
        <v>1.0</v>
      </c>
      <c r="I394" s="6">
        <v>0</v>
      </c>
      <c r="J394" s="5" t="s">
        <v>19</v>
      </c>
      <c r="K394" s="6">
        <v>68</v>
      </c>
      <c r="L394" s="6">
        <v>45</v>
      </c>
      <c r="M394" s="7">
        <f>IF(K394&gt;0,L394/K394,"n/a")</f>
        <v>0.662</v>
      </c>
      <c r="N394" s="8">
        <f>IF(AND(F394&gt;0,K394&gt;0),(H394-M394)*100,"n/a")</f>
        <v>33.8</v>
      </c>
      <c r="O394" s="5" t="s">
        <v>23</v>
      </c>
    </row>
    <row r="395" spans="1:15">
      <c r="A395" s="5" t="s">
        <v>587</v>
      </c>
      <c r="B395" s="5" t="s">
        <v>587</v>
      </c>
      <c r="C395" s="5" t="s">
        <v>826</v>
      </c>
      <c r="D395" s="5" t="s">
        <v>851</v>
      </c>
      <c r="E395" s="5" t="s">
        <v>852</v>
      </c>
      <c r="F395" s="6">
        <v>238</v>
      </c>
      <c r="G395" s="6">
        <v>233</v>
      </c>
      <c r="H395" s="7">
        <f>IF(F395&gt;0,G395/F395,"n/a")</f>
        <v>0.9790000000000001</v>
      </c>
      <c r="I395" s="6">
        <v>0</v>
      </c>
      <c r="J395" s="5" t="s">
        <v>19</v>
      </c>
      <c r="K395" s="6">
        <v>173</v>
      </c>
      <c r="L395" s="6">
        <v>85</v>
      </c>
      <c r="M395" s="7">
        <f>IF(K395&gt;0,L395/K395,"n/a")</f>
        <v>0.491</v>
      </c>
      <c r="N395" s="8">
        <f>IF(AND(F395&gt;0,K395&gt;0),(H395-M395)*100,"n/a")</f>
        <v>48.8</v>
      </c>
      <c r="O395" s="5" t="s">
        <v>23</v>
      </c>
    </row>
    <row r="396" spans="1:15">
      <c r="A396" s="5" t="s">
        <v>587</v>
      </c>
      <c r="B396" s="5" t="s">
        <v>587</v>
      </c>
      <c r="C396" s="5" t="s">
        <v>826</v>
      </c>
      <c r="D396" s="5" t="s">
        <v>853</v>
      </c>
      <c r="E396" s="5" t="s">
        <v>854</v>
      </c>
      <c r="F396" s="6">
        <v>270</v>
      </c>
      <c r="G396" s="6">
        <v>273</v>
      </c>
      <c r="H396" s="7">
        <f>IF(F396&gt;0,G396/F396,"n/a")</f>
        <v>1.011</v>
      </c>
      <c r="I396" s="6">
        <v>0</v>
      </c>
      <c r="J396" s="5" t="s">
        <v>19</v>
      </c>
      <c r="K396" s="6">
        <v>186</v>
      </c>
      <c r="L396" s="6">
        <v>81</v>
      </c>
      <c r="M396" s="7">
        <f>IF(K396&gt;0,L396/K396,"n/a")</f>
        <v>0.435</v>
      </c>
      <c r="N396" s="8">
        <f>IF(AND(F396&gt;0,K396&gt;0),(H396-M396)*100,"n/a")</f>
        <v>57.6</v>
      </c>
      <c r="O396" s="5" t="s">
        <v>23</v>
      </c>
    </row>
    <row r="397" spans="1:15">
      <c r="A397" s="5" t="s">
        <v>587</v>
      </c>
      <c r="B397" s="5" t="s">
        <v>587</v>
      </c>
      <c r="C397" s="5" t="s">
        <v>826</v>
      </c>
      <c r="D397" s="5" t="s">
        <v>855</v>
      </c>
      <c r="E397" s="5" t="s">
        <v>856</v>
      </c>
      <c r="F397" s="6">
        <v>89</v>
      </c>
      <c r="G397" s="6">
        <v>76</v>
      </c>
      <c r="H397" s="7">
        <f>IF(F397&gt;0,G397/F397,"n/a")</f>
        <v>0.8540000000000001</v>
      </c>
      <c r="I397" s="6">
        <v>0</v>
      </c>
      <c r="J397" s="5" t="s">
        <v>19</v>
      </c>
      <c r="K397" s="6">
        <v>48</v>
      </c>
      <c r="L397" s="6">
        <v>21</v>
      </c>
      <c r="M397" s="7">
        <f>IF(K397&gt;0,L397/K397,"n/a")</f>
        <v>0.43799999999999994</v>
      </c>
      <c r="N397" s="8">
        <f>IF(AND(F397&gt;0,K397&gt;0),(H397-M397)*100,"n/a")</f>
        <v>41.6</v>
      </c>
      <c r="O397" s="5" t="s">
        <v>23</v>
      </c>
    </row>
    <row r="398" spans="1:15">
      <c r="A398" s="5" t="s">
        <v>587</v>
      </c>
      <c r="B398" s="5" t="s">
        <v>587</v>
      </c>
      <c r="C398" s="5" t="s">
        <v>826</v>
      </c>
      <c r="D398" s="5" t="s">
        <v>857</v>
      </c>
      <c r="E398" s="5" t="s">
        <v>858</v>
      </c>
      <c r="F398" s="6">
        <v>337</v>
      </c>
      <c r="G398" s="6">
        <v>341</v>
      </c>
      <c r="H398" s="7">
        <f>IF(F398&gt;0,G398/F398,"n/a")</f>
        <v>1.012</v>
      </c>
      <c r="I398" s="6">
        <v>0</v>
      </c>
      <c r="J398" s="5" t="s">
        <v>19</v>
      </c>
      <c r="K398" s="6">
        <v>240</v>
      </c>
      <c r="L398" s="6">
        <v>124</v>
      </c>
      <c r="M398" s="7">
        <f>IF(K398&gt;0,L398/K398,"n/a")</f>
        <v>0.517</v>
      </c>
      <c r="N398" s="8">
        <f>IF(AND(F398&gt;0,K398&gt;0),(H398-M398)*100,"n/a")</f>
        <v>49.5</v>
      </c>
      <c r="O398" s="5" t="s">
        <v>23</v>
      </c>
    </row>
    <row r="399" spans="1:15">
      <c r="A399" s="5" t="s">
        <v>587</v>
      </c>
      <c r="B399" s="5" t="s">
        <v>587</v>
      </c>
      <c r="C399" s="5" t="s">
        <v>826</v>
      </c>
      <c r="D399" s="5" t="s">
        <v>859</v>
      </c>
      <c r="E399" s="5" t="s">
        <v>860</v>
      </c>
      <c r="F399" s="6">
        <v>121</v>
      </c>
      <c r="G399" s="6">
        <v>121</v>
      </c>
      <c r="H399" s="7">
        <f>IF(F399&gt;0,G399/F399,"n/a")</f>
        <v>1.0</v>
      </c>
      <c r="I399" s="6">
        <v>0</v>
      </c>
      <c r="J399" s="5" t="s">
        <v>19</v>
      </c>
      <c r="K399" s="6">
        <v>98</v>
      </c>
      <c r="L399" s="6">
        <v>63</v>
      </c>
      <c r="M399" s="7">
        <f>IF(K399&gt;0,L399/K399,"n/a")</f>
        <v>0.643</v>
      </c>
      <c r="N399" s="8">
        <f>IF(AND(F399&gt;0,K399&gt;0),(H399-M399)*100,"n/a")</f>
        <v>35.7</v>
      </c>
      <c r="O399" s="5" t="s">
        <v>23</v>
      </c>
    </row>
    <row r="400" spans="1:15">
      <c r="A400" s="5" t="s">
        <v>587</v>
      </c>
      <c r="B400" s="5" t="s">
        <v>587</v>
      </c>
      <c r="C400" s="5" t="s">
        <v>826</v>
      </c>
      <c r="D400" s="5" t="s">
        <v>861</v>
      </c>
      <c r="E400" s="5" t="s">
        <v>862</v>
      </c>
      <c r="F400" s="6">
        <v>223</v>
      </c>
      <c r="G400" s="6">
        <v>224</v>
      </c>
      <c r="H400" s="7">
        <f>IF(F400&gt;0,G400/F400,"n/a")</f>
        <v>1.004</v>
      </c>
      <c r="I400" s="6">
        <v>0</v>
      </c>
      <c r="J400" s="5" t="s">
        <v>19</v>
      </c>
      <c r="K400" s="6">
        <v>167</v>
      </c>
      <c r="L400" s="6">
        <v>46</v>
      </c>
      <c r="M400" s="7">
        <f>IF(K400&gt;0,L400/K400,"n/a")</f>
        <v>0.275</v>
      </c>
      <c r="N400" s="8">
        <f>IF(AND(F400&gt;0,K400&gt;0),(H400-M400)*100,"n/a")</f>
        <v>72.9</v>
      </c>
      <c r="O400" s="5" t="s">
        <v>23</v>
      </c>
    </row>
    <row r="401" spans="1:15">
      <c r="A401" s="5" t="s">
        <v>587</v>
      </c>
      <c r="B401" s="5" t="s">
        <v>587</v>
      </c>
      <c r="C401" s="5" t="s">
        <v>826</v>
      </c>
      <c r="D401" s="5" t="s">
        <v>863</v>
      </c>
      <c r="E401" s="5" t="s">
        <v>864</v>
      </c>
      <c r="F401" s="6">
        <v>94</v>
      </c>
      <c r="G401" s="6">
        <v>103</v>
      </c>
      <c r="H401" s="7">
        <f>IF(F401&gt;0,G401/F401,"n/a")</f>
        <v>1.0959999999999999</v>
      </c>
      <c r="I401" s="6">
        <v>0</v>
      </c>
      <c r="J401" s="5" t="s">
        <v>19</v>
      </c>
      <c r="K401" s="6">
        <v>84</v>
      </c>
      <c r="L401" s="6">
        <v>37</v>
      </c>
      <c r="M401" s="7">
        <f>IF(K401&gt;0,L401/K401,"n/a")</f>
        <v>0.44</v>
      </c>
      <c r="N401" s="8">
        <f>IF(AND(F401&gt;0,K401&gt;0),(H401-M401)*100,"n/a")</f>
        <v>65.5</v>
      </c>
      <c r="O401" s="5" t="s">
        <v>23</v>
      </c>
    </row>
    <row r="402" spans="1:15">
      <c r="A402" s="5" t="s">
        <v>587</v>
      </c>
      <c r="B402" s="5" t="s">
        <v>587</v>
      </c>
      <c r="C402" s="5" t="s">
        <v>826</v>
      </c>
      <c r="D402" s="5" t="s">
        <v>865</v>
      </c>
      <c r="E402" s="5" t="s">
        <v>866</v>
      </c>
      <c r="F402" s="6">
        <v>270</v>
      </c>
      <c r="G402" s="6">
        <v>270</v>
      </c>
      <c r="H402" s="7">
        <f>IF(F402&gt;0,G402/F402,"n/a")</f>
        <v>1.0</v>
      </c>
      <c r="I402" s="6">
        <v>0</v>
      </c>
      <c r="J402" s="5" t="s">
        <v>19</v>
      </c>
      <c r="K402" s="6">
        <v>210</v>
      </c>
      <c r="L402" s="6">
        <v>56</v>
      </c>
      <c r="M402" s="7">
        <f>IF(K402&gt;0,L402/K402,"n/a")</f>
        <v>0.267</v>
      </c>
      <c r="N402" s="8">
        <f>IF(AND(F402&gt;0,K402&gt;0),(H402-M402)*100,"n/a")</f>
        <v>73.3</v>
      </c>
      <c r="O402" s="5" t="s">
        <v>23</v>
      </c>
    </row>
    <row r="403" spans="1:15">
      <c r="A403" s="5" t="s">
        <v>587</v>
      </c>
      <c r="B403" s="5" t="s">
        <v>587</v>
      </c>
      <c r="C403" s="5" t="s">
        <v>826</v>
      </c>
      <c r="D403" s="5" t="s">
        <v>867</v>
      </c>
      <c r="E403" s="5" t="s">
        <v>868</v>
      </c>
      <c r="F403" s="6">
        <v>140</v>
      </c>
      <c r="G403" s="6">
        <v>140</v>
      </c>
      <c r="H403" s="7">
        <f>IF(F403&gt;0,G403/F403,"n/a")</f>
        <v>1.0</v>
      </c>
      <c r="I403" s="6">
        <v>0</v>
      </c>
      <c r="J403" s="5" t="s">
        <v>19</v>
      </c>
      <c r="K403" s="6">
        <v>108</v>
      </c>
      <c r="L403" s="6">
        <v>51</v>
      </c>
      <c r="M403" s="7">
        <f>IF(K403&gt;0,L403/K403,"n/a")</f>
        <v>0.47200000000000003</v>
      </c>
      <c r="N403" s="8">
        <f>IF(AND(F403&gt;0,K403&gt;0),(H403-M403)*100,"n/a")</f>
        <v>52.8</v>
      </c>
      <c r="O403" s="5" t="s">
        <v>23</v>
      </c>
    </row>
    <row r="404" spans="1:15">
      <c r="A404" s="5" t="s">
        <v>587</v>
      </c>
      <c r="B404" s="5" t="s">
        <v>587</v>
      </c>
      <c r="C404" s="5" t="s">
        <v>826</v>
      </c>
      <c r="D404" s="5" t="s">
        <v>869</v>
      </c>
      <c r="E404" s="5" t="s">
        <v>870</v>
      </c>
      <c r="F404" s="6">
        <v>159</v>
      </c>
      <c r="G404" s="6">
        <v>160</v>
      </c>
      <c r="H404" s="7">
        <f>IF(F404&gt;0,G404/F404,"n/a")</f>
        <v>1.006</v>
      </c>
      <c r="I404" s="6">
        <v>0</v>
      </c>
      <c r="J404" s="5" t="s">
        <v>19</v>
      </c>
      <c r="K404" s="6">
        <v>97</v>
      </c>
      <c r="L404" s="6">
        <v>72</v>
      </c>
      <c r="M404" s="7">
        <f>IF(K404&gt;0,L404/K404,"n/a")</f>
        <v>0.742</v>
      </c>
      <c r="N404" s="8">
        <f>IF(AND(F404&gt;0,K404&gt;0),(H404-M404)*100,"n/a")</f>
        <v>26.4</v>
      </c>
      <c r="O404" s="5" t="s">
        <v>23</v>
      </c>
    </row>
    <row r="405" spans="1:15">
      <c r="A405" s="5" t="s">
        <v>587</v>
      </c>
      <c r="B405" s="5" t="s">
        <v>587</v>
      </c>
      <c r="C405" s="5" t="s">
        <v>871</v>
      </c>
      <c r="D405" s="5" t="s">
        <v>872</v>
      </c>
      <c r="E405" s="5" t="s">
        <v>873</v>
      </c>
      <c r="F405" s="6">
        <v>53</v>
      </c>
      <c r="G405" s="6">
        <v>53</v>
      </c>
      <c r="H405" s="7">
        <f>IF(F405&gt;0,G405/F405,"n/a")</f>
        <v>1.0</v>
      </c>
      <c r="I405" s="6">
        <v>0</v>
      </c>
      <c r="J405" s="5" t="s">
        <v>19</v>
      </c>
      <c r="K405" s="6">
        <v>74</v>
      </c>
      <c r="L405" s="6">
        <v>33</v>
      </c>
      <c r="M405" s="7">
        <f>IF(K405&gt;0,L405/K405,"n/a")</f>
        <v>0.446</v>
      </c>
      <c r="N405" s="8">
        <f>IF(AND(F405&gt;0,K405&gt;0),(H405-M405)*100,"n/a")</f>
        <v>55.4</v>
      </c>
      <c r="O405" s="5" t="s">
        <v>23</v>
      </c>
    </row>
    <row r="406" spans="1:15">
      <c r="A406" s="5" t="s">
        <v>587</v>
      </c>
      <c r="B406" s="5" t="s">
        <v>587</v>
      </c>
      <c r="C406" s="5" t="s">
        <v>871</v>
      </c>
      <c r="D406" s="5" t="s">
        <v>874</v>
      </c>
      <c r="E406" s="5" t="s">
        <v>875</v>
      </c>
      <c r="F406" s="6">
        <v>73</v>
      </c>
      <c r="G406" s="6">
        <v>72</v>
      </c>
      <c r="H406" s="7">
        <f>IF(F406&gt;0,G406/F406,"n/a")</f>
        <v>0.986</v>
      </c>
      <c r="I406" s="6">
        <v>0</v>
      </c>
      <c r="J406" s="5" t="s">
        <v>19</v>
      </c>
      <c r="K406" s="6">
        <v>51</v>
      </c>
      <c r="L406" s="6">
        <v>26</v>
      </c>
      <c r="M406" s="7">
        <f>IF(K406&gt;0,L406/K406,"n/a")</f>
        <v>0.51</v>
      </c>
      <c r="N406" s="8">
        <f>IF(AND(F406&gt;0,K406&gt;0),(H406-M406)*100,"n/a")</f>
        <v>47.6</v>
      </c>
      <c r="O406" s="5" t="s">
        <v>23</v>
      </c>
    </row>
    <row r="407" spans="1:15">
      <c r="A407" s="5" t="s">
        <v>587</v>
      </c>
      <c r="B407" s="5" t="s">
        <v>587</v>
      </c>
      <c r="C407" s="5" t="s">
        <v>871</v>
      </c>
      <c r="D407" s="5" t="s">
        <v>876</v>
      </c>
      <c r="E407" s="5" t="s">
        <v>877</v>
      </c>
      <c r="F407" s="6">
        <v>0</v>
      </c>
      <c r="G407" s="6">
        <v>0</v>
      </c>
      <c r="H407" s="7" t="str">
        <f>IF(F407&gt;0,G407/F407,"n/a")</f>
        <v>n/a</v>
      </c>
      <c r="I407" s="6">
        <v>0</v>
      </c>
      <c r="J407" s="5" t="s">
        <v>19</v>
      </c>
      <c r="K407" s="6">
        <v>4</v>
      </c>
      <c r="L407" s="6">
        <v>4</v>
      </c>
      <c r="M407" s="7">
        <f>IF(K407&gt;0,L407/K407,"n/a")</f>
        <v>1.0</v>
      </c>
      <c r="N407" s="8" t="str">
        <f>IF(AND(F407&gt;0,K407&gt;0),(H407-M407)*100,"n/a")</f>
        <v>n/a</v>
      </c>
      <c r="O407" s="5" t="s">
        <v>100</v>
      </c>
    </row>
    <row r="408" spans="1:15">
      <c r="A408" s="5" t="s">
        <v>587</v>
      </c>
      <c r="B408" s="5" t="s">
        <v>587</v>
      </c>
      <c r="C408" s="5" t="s">
        <v>871</v>
      </c>
      <c r="D408" s="5" t="s">
        <v>878</v>
      </c>
      <c r="E408" s="5" t="s">
        <v>879</v>
      </c>
      <c r="F408" s="6">
        <v>287</v>
      </c>
      <c r="G408" s="6">
        <v>265</v>
      </c>
      <c r="H408" s="7">
        <f>IF(F408&gt;0,G408/F408,"n/a")</f>
        <v>0.9229999999999999</v>
      </c>
      <c r="I408" s="6">
        <v>0</v>
      </c>
      <c r="J408" s="5" t="s">
        <v>19</v>
      </c>
      <c r="K408" s="6">
        <v>196</v>
      </c>
      <c r="L408" s="6">
        <v>75</v>
      </c>
      <c r="M408" s="7">
        <f>IF(K408&gt;0,L408/K408,"n/a")</f>
        <v>0.38299999999999995</v>
      </c>
      <c r="N408" s="8">
        <f>IF(AND(F408&gt;0,K408&gt;0),(H408-M408)*100,"n/a")</f>
        <v>54.1</v>
      </c>
      <c r="O408" s="5" t="s">
        <v>23</v>
      </c>
    </row>
    <row r="409" spans="1:15">
      <c r="A409" s="5" t="s">
        <v>587</v>
      </c>
      <c r="B409" s="5" t="s">
        <v>587</v>
      </c>
      <c r="C409" s="5" t="s">
        <v>871</v>
      </c>
      <c r="D409" s="5" t="s">
        <v>880</v>
      </c>
      <c r="E409" s="5" t="s">
        <v>881</v>
      </c>
      <c r="F409" s="6">
        <v>58</v>
      </c>
      <c r="G409" s="6">
        <v>58</v>
      </c>
      <c r="H409" s="7">
        <f>IF(F409&gt;0,G409/F409,"n/a")</f>
        <v>1.0</v>
      </c>
      <c r="I409" s="6">
        <v>0</v>
      </c>
      <c r="J409" s="5" t="s">
        <v>19</v>
      </c>
      <c r="K409" s="6">
        <v>37</v>
      </c>
      <c r="L409" s="6">
        <v>23</v>
      </c>
      <c r="M409" s="7">
        <f>IF(K409&gt;0,L409/K409,"n/a")</f>
        <v>0.622</v>
      </c>
      <c r="N409" s="8">
        <f>IF(AND(F409&gt;0,K409&gt;0),(H409-M409)*100,"n/a")</f>
        <v>37.8</v>
      </c>
      <c r="O409" s="5" t="s">
        <v>23</v>
      </c>
    </row>
    <row r="410" spans="1:15">
      <c r="A410" s="5" t="s">
        <v>587</v>
      </c>
      <c r="B410" s="5" t="s">
        <v>587</v>
      </c>
      <c r="C410" s="5" t="s">
        <v>871</v>
      </c>
      <c r="D410" s="5" t="s">
        <v>882</v>
      </c>
      <c r="E410" s="5" t="s">
        <v>883</v>
      </c>
      <c r="F410" s="6">
        <v>99</v>
      </c>
      <c r="G410" s="6">
        <v>83</v>
      </c>
      <c r="H410" s="7">
        <f>IF(F410&gt;0,G410/F410,"n/a")</f>
        <v>0.838</v>
      </c>
      <c r="I410" s="6">
        <v>0</v>
      </c>
      <c r="J410" s="5" t="s">
        <v>19</v>
      </c>
      <c r="K410" s="6">
        <v>79</v>
      </c>
      <c r="L410" s="6">
        <v>42</v>
      </c>
      <c r="M410" s="7">
        <f>IF(K410&gt;0,L410/K410,"n/a")</f>
        <v>0.532</v>
      </c>
      <c r="N410" s="8">
        <f>IF(AND(F410&gt;0,K410&gt;0),(H410-M410)*100,"n/a")</f>
        <v>30.7</v>
      </c>
      <c r="O410" s="5" t="s">
        <v>23</v>
      </c>
    </row>
    <row r="411" spans="1:15">
      <c r="A411" s="5" t="s">
        <v>587</v>
      </c>
      <c r="B411" s="5" t="s">
        <v>587</v>
      </c>
      <c r="C411" s="5" t="s">
        <v>871</v>
      </c>
      <c r="D411" s="5" t="s">
        <v>884</v>
      </c>
      <c r="E411" s="5" t="s">
        <v>885</v>
      </c>
      <c r="F411" s="6">
        <v>265</v>
      </c>
      <c r="G411" s="6">
        <v>218</v>
      </c>
      <c r="H411" s="7">
        <f>IF(F411&gt;0,G411/F411,"n/a")</f>
        <v>0.823</v>
      </c>
      <c r="I411" s="6">
        <v>0</v>
      </c>
      <c r="J411" s="5" t="s">
        <v>19</v>
      </c>
      <c r="K411" s="6">
        <v>181</v>
      </c>
      <c r="L411" s="6">
        <v>93</v>
      </c>
      <c r="M411" s="7">
        <f>IF(K411&gt;0,L411/K411,"n/a")</f>
        <v>0.514</v>
      </c>
      <c r="N411" s="8">
        <f>IF(AND(F411&gt;0,K411&gt;0),(H411-M411)*100,"n/a")</f>
        <v>30.9</v>
      </c>
      <c r="O411" s="5" t="s">
        <v>23</v>
      </c>
    </row>
    <row r="412" spans="1:15">
      <c r="A412" s="5" t="s">
        <v>587</v>
      </c>
      <c r="B412" s="5" t="s">
        <v>587</v>
      </c>
      <c r="C412" s="5" t="s">
        <v>871</v>
      </c>
      <c r="D412" s="5" t="s">
        <v>886</v>
      </c>
      <c r="E412" s="5" t="s">
        <v>887</v>
      </c>
      <c r="F412" s="6">
        <v>24</v>
      </c>
      <c r="G412" s="6">
        <v>24</v>
      </c>
      <c r="H412" s="7">
        <f>IF(F412&gt;0,G412/F412,"n/a")</f>
        <v>1.0</v>
      </c>
      <c r="I412" s="6">
        <v>0</v>
      </c>
      <c r="J412" s="5" t="s">
        <v>19</v>
      </c>
      <c r="K412" s="6">
        <v>16</v>
      </c>
      <c r="L412" s="6">
        <v>11</v>
      </c>
      <c r="M412" s="7">
        <f>IF(K412&gt;0,L412/K412,"n/a")</f>
        <v>0.688</v>
      </c>
      <c r="N412" s="8">
        <f>IF(AND(F412&gt;0,K412&gt;0),(H412-M412)*100,"n/a")</f>
        <v>31.2</v>
      </c>
      <c r="O412" s="5" t="s">
        <v>23</v>
      </c>
    </row>
    <row r="413" spans="1:15">
      <c r="A413" s="5" t="s">
        <v>587</v>
      </c>
      <c r="B413" s="5" t="s">
        <v>587</v>
      </c>
      <c r="C413" s="5" t="s">
        <v>871</v>
      </c>
      <c r="D413" s="5" t="s">
        <v>888</v>
      </c>
      <c r="E413" s="5" t="s">
        <v>889</v>
      </c>
      <c r="F413" s="6">
        <v>119</v>
      </c>
      <c r="G413" s="6">
        <v>120</v>
      </c>
      <c r="H413" s="7">
        <f>IF(F413&gt;0,G413/F413,"n/a")</f>
        <v>1.008</v>
      </c>
      <c r="I413" s="6">
        <v>0</v>
      </c>
      <c r="J413" s="5" t="s">
        <v>19</v>
      </c>
      <c r="K413" s="6">
        <v>96</v>
      </c>
      <c r="L413" s="6">
        <v>58</v>
      </c>
      <c r="M413" s="7">
        <f>IF(K413&gt;0,L413/K413,"n/a")</f>
        <v>0.604</v>
      </c>
      <c r="N413" s="8">
        <f>IF(AND(F413&gt;0,K413&gt;0),(H413-M413)*100,"n/a")</f>
        <v>40.4</v>
      </c>
      <c r="O413" s="5" t="s">
        <v>23</v>
      </c>
    </row>
    <row r="414" spans="1:15">
      <c r="A414" s="5" t="s">
        <v>587</v>
      </c>
      <c r="B414" s="5" t="s">
        <v>587</v>
      </c>
      <c r="C414" s="5" t="s">
        <v>871</v>
      </c>
      <c r="D414" s="5" t="s">
        <v>890</v>
      </c>
      <c r="E414" s="5" t="s">
        <v>891</v>
      </c>
      <c r="F414" s="6">
        <v>144</v>
      </c>
      <c r="G414" s="6">
        <v>0</v>
      </c>
      <c r="H414" s="7">
        <f>IF(F414&gt;0,G414/F414,"n/a")</f>
        <v>0.0</v>
      </c>
      <c r="I414" s="6">
        <v>0</v>
      </c>
      <c r="J414" s="5" t="s">
        <v>67</v>
      </c>
      <c r="K414" s="6">
        <v>121</v>
      </c>
      <c r="L414" s="6">
        <v>47</v>
      </c>
      <c r="M414" s="7">
        <f>IF(K414&gt;0,L414/K414,"n/a")</f>
        <v>0.38799999999999996</v>
      </c>
      <c r="N414" s="8">
        <f>IF(AND(F414&gt;0,K414&gt;0),(H414-M414)*100,"n/a")</f>
        <v>-38.8</v>
      </c>
      <c r="O414" s="5" t="s">
        <v>46</v>
      </c>
    </row>
    <row r="415" spans="1:15">
      <c r="A415" s="5" t="s">
        <v>587</v>
      </c>
      <c r="B415" s="5" t="s">
        <v>587</v>
      </c>
      <c r="C415" s="5" t="s">
        <v>871</v>
      </c>
      <c r="D415" s="5" t="s">
        <v>892</v>
      </c>
      <c r="E415" s="5" t="s">
        <v>893</v>
      </c>
      <c r="F415" s="6">
        <v>37</v>
      </c>
      <c r="G415" s="6">
        <v>38</v>
      </c>
      <c r="H415" s="7">
        <f>IF(F415&gt;0,G415/F415,"n/a")</f>
        <v>1.0270000000000001</v>
      </c>
      <c r="I415" s="6">
        <v>0</v>
      </c>
      <c r="J415" s="5" t="s">
        <v>19</v>
      </c>
      <c r="K415" s="6">
        <v>29</v>
      </c>
      <c r="L415" s="6">
        <v>20</v>
      </c>
      <c r="M415" s="7">
        <f>IF(K415&gt;0,L415/K415,"n/a")</f>
        <v>0.69</v>
      </c>
      <c r="N415" s="8">
        <f>IF(AND(F415&gt;0,K415&gt;0),(H415-M415)*100,"n/a")</f>
        <v>33.7</v>
      </c>
      <c r="O415" s="5" t="s">
        <v>23</v>
      </c>
    </row>
    <row r="416" spans="1:15">
      <c r="A416" s="5" t="s">
        <v>587</v>
      </c>
      <c r="B416" s="5" t="s">
        <v>587</v>
      </c>
      <c r="C416" s="5" t="s">
        <v>871</v>
      </c>
      <c r="D416" s="5" t="s">
        <v>894</v>
      </c>
      <c r="E416" s="5" t="s">
        <v>895</v>
      </c>
      <c r="F416" s="6">
        <v>143</v>
      </c>
      <c r="G416" s="6">
        <v>278</v>
      </c>
      <c r="H416" s="7">
        <f>IF(F416&gt;0,G416/F416,"n/a")</f>
        <v>1.944</v>
      </c>
      <c r="I416" s="6">
        <v>0</v>
      </c>
      <c r="J416" s="5" t="s">
        <v>26</v>
      </c>
      <c r="K416" s="6">
        <v>108</v>
      </c>
      <c r="L416" s="6">
        <v>74</v>
      </c>
      <c r="M416" s="7">
        <f>IF(K416&gt;0,L416/K416,"n/a")</f>
        <v>0.685</v>
      </c>
      <c r="N416" s="8">
        <f>IF(AND(F416&gt;0,K416&gt;0),(H416-M416)*100,"n/a")</f>
        <v>125.9</v>
      </c>
      <c r="O416" s="5" t="s">
        <v>23</v>
      </c>
    </row>
    <row r="417" spans="1:15">
      <c r="A417" s="5" t="s">
        <v>587</v>
      </c>
      <c r="B417" s="5" t="s">
        <v>587</v>
      </c>
      <c r="C417" s="5" t="s">
        <v>871</v>
      </c>
      <c r="D417" s="5" t="s">
        <v>896</v>
      </c>
      <c r="E417" s="5" t="s">
        <v>897</v>
      </c>
      <c r="F417" s="6">
        <v>31</v>
      </c>
      <c r="G417" s="6">
        <v>31</v>
      </c>
      <c r="H417" s="7">
        <f>IF(F417&gt;0,G417/F417,"n/a")</f>
        <v>1.0</v>
      </c>
      <c r="I417" s="6">
        <v>0</v>
      </c>
      <c r="J417" s="5" t="s">
        <v>19</v>
      </c>
      <c r="K417" s="6">
        <v>34</v>
      </c>
      <c r="L417" s="6">
        <v>31</v>
      </c>
      <c r="M417" s="7">
        <f>IF(K417&gt;0,L417/K417,"n/a")</f>
        <v>0.912</v>
      </c>
      <c r="N417" s="8">
        <f>IF(AND(F417&gt;0,K417&gt;0),(H417-M417)*100,"n/a")</f>
        <v>8.8</v>
      </c>
      <c r="O417" s="5" t="s">
        <v>20</v>
      </c>
    </row>
    <row r="418" spans="1:15">
      <c r="A418" s="5" t="s">
        <v>587</v>
      </c>
      <c r="B418" s="5" t="s">
        <v>587</v>
      </c>
      <c r="C418" s="5" t="s">
        <v>871</v>
      </c>
      <c r="D418" s="5" t="s">
        <v>898</v>
      </c>
      <c r="E418" s="5" t="s">
        <v>899</v>
      </c>
      <c r="F418" s="6">
        <v>62</v>
      </c>
      <c r="G418" s="6">
        <v>65</v>
      </c>
      <c r="H418" s="7">
        <f>IF(F418&gt;0,G418/F418,"n/a")</f>
        <v>1.048</v>
      </c>
      <c r="I418" s="6">
        <v>0</v>
      </c>
      <c r="J418" s="5" t="s">
        <v>19</v>
      </c>
      <c r="K418" s="6">
        <v>64</v>
      </c>
      <c r="L418" s="6">
        <v>18</v>
      </c>
      <c r="M418" s="7">
        <f>IF(K418&gt;0,L418/K418,"n/a")</f>
        <v>0.281</v>
      </c>
      <c r="N418" s="8">
        <f>IF(AND(F418&gt;0,K418&gt;0),(H418-M418)*100,"n/a")</f>
        <v>76.7</v>
      </c>
      <c r="O418" s="5" t="s">
        <v>23</v>
      </c>
    </row>
    <row r="419" spans="1:15">
      <c r="A419" s="5" t="s">
        <v>587</v>
      </c>
      <c r="B419" s="5" t="s">
        <v>587</v>
      </c>
      <c r="C419" s="5" t="s">
        <v>871</v>
      </c>
      <c r="D419" s="5" t="s">
        <v>900</v>
      </c>
      <c r="E419" s="5" t="s">
        <v>901</v>
      </c>
      <c r="F419" s="6">
        <v>22</v>
      </c>
      <c r="G419" s="6">
        <v>22</v>
      </c>
      <c r="H419" s="7">
        <f>IF(F419&gt;0,G419/F419,"n/a")</f>
        <v>1.0</v>
      </c>
      <c r="I419" s="6">
        <v>0</v>
      </c>
      <c r="J419" s="5" t="s">
        <v>19</v>
      </c>
      <c r="K419" s="6">
        <v>19</v>
      </c>
      <c r="L419" s="6">
        <v>18</v>
      </c>
      <c r="M419" s="7">
        <f>IF(K419&gt;0,L419/K419,"n/a")</f>
        <v>0.9470000000000001</v>
      </c>
      <c r="N419" s="8">
        <f>IF(AND(F419&gt;0,K419&gt;0),(H419-M419)*100,"n/a")</f>
        <v>5.3</v>
      </c>
      <c r="O419" s="5" t="s">
        <v>20</v>
      </c>
    </row>
    <row r="420" spans="1:15">
      <c r="A420" s="5" t="s">
        <v>587</v>
      </c>
      <c r="B420" s="5" t="s">
        <v>587</v>
      </c>
      <c r="C420" s="5" t="s">
        <v>871</v>
      </c>
      <c r="D420" s="5" t="s">
        <v>902</v>
      </c>
      <c r="E420" s="5" t="s">
        <v>903</v>
      </c>
      <c r="F420" s="6">
        <v>25</v>
      </c>
      <c r="G420" s="6">
        <v>25</v>
      </c>
      <c r="H420" s="7">
        <f>IF(F420&gt;0,G420/F420,"n/a")</f>
        <v>1.0</v>
      </c>
      <c r="I420" s="6">
        <v>0</v>
      </c>
      <c r="J420" s="5" t="s">
        <v>19</v>
      </c>
      <c r="K420" s="6">
        <v>28</v>
      </c>
      <c r="L420" s="6">
        <v>27</v>
      </c>
      <c r="M420" s="7">
        <f>IF(K420&gt;0,L420/K420,"n/a")</f>
        <v>0.9640000000000001</v>
      </c>
      <c r="N420" s="8">
        <f>IF(AND(F420&gt;0,K420&gt;0),(H420-M420)*100,"n/a")</f>
        <v>3.6</v>
      </c>
      <c r="O420" s="5" t="s">
        <v>20</v>
      </c>
    </row>
    <row r="421" spans="1:15">
      <c r="A421" s="5" t="s">
        <v>587</v>
      </c>
      <c r="B421" s="5" t="s">
        <v>587</v>
      </c>
      <c r="C421" s="5" t="s">
        <v>871</v>
      </c>
      <c r="D421" s="5" t="s">
        <v>904</v>
      </c>
      <c r="E421" s="5" t="s">
        <v>905</v>
      </c>
      <c r="F421" s="6">
        <v>44</v>
      </c>
      <c r="G421" s="6">
        <v>44</v>
      </c>
      <c r="H421" s="7">
        <f>IF(F421&gt;0,G421/F421,"n/a")</f>
        <v>1.0</v>
      </c>
      <c r="I421" s="6">
        <v>0</v>
      </c>
      <c r="J421" s="5" t="s">
        <v>19</v>
      </c>
      <c r="K421" s="6">
        <v>33</v>
      </c>
      <c r="L421" s="6">
        <v>26</v>
      </c>
      <c r="M421" s="7">
        <f>IF(K421&gt;0,L421/K421,"n/a")</f>
        <v>0.7879999999999999</v>
      </c>
      <c r="N421" s="8">
        <f>IF(AND(F421&gt;0,K421&gt;0),(H421-M421)*100,"n/a")</f>
        <v>21.2</v>
      </c>
      <c r="O421" s="5" t="s">
        <v>23</v>
      </c>
    </row>
    <row r="422" spans="1:15">
      <c r="A422" s="5" t="s">
        <v>587</v>
      </c>
      <c r="B422" s="5" t="s">
        <v>587</v>
      </c>
      <c r="C422" s="5" t="s">
        <v>871</v>
      </c>
      <c r="D422" s="5" t="s">
        <v>906</v>
      </c>
      <c r="E422" s="5" t="s">
        <v>907</v>
      </c>
      <c r="F422" s="6">
        <v>134</v>
      </c>
      <c r="G422" s="6">
        <v>134</v>
      </c>
      <c r="H422" s="7">
        <f>IF(F422&gt;0,G422/F422,"n/a")</f>
        <v>1.0</v>
      </c>
      <c r="I422" s="6">
        <v>0</v>
      </c>
      <c r="J422" s="5" t="s">
        <v>19</v>
      </c>
      <c r="K422" s="6">
        <v>89</v>
      </c>
      <c r="L422" s="6">
        <v>51</v>
      </c>
      <c r="M422" s="7">
        <f>IF(K422&gt;0,L422/K422,"n/a")</f>
        <v>0.573</v>
      </c>
      <c r="N422" s="8">
        <f>IF(AND(F422&gt;0,K422&gt;0),(H422-M422)*100,"n/a")</f>
        <v>42.7</v>
      </c>
      <c r="O422" s="5" t="s">
        <v>23</v>
      </c>
    </row>
  </sheetData>
  <autoFilter ref="A1:O422"/>
  <conditionalFormatting sqref="J2:J422">
    <cfRule type="beginsWith" dxfId="0" priority="1" operator="beginsWith" text="P1">
      <formula>LEFT(J2,2)="P1"</formula>
    </cfRule>
    <cfRule type="beginsWith" dxfId="1" priority="2" operator="beginsWith" text="P2">
      <formula>LEFT(J2,2)="P2"</formula>
    </cfRule>
    <cfRule type="beginsWith" dxfId="2" priority="3" operator="beginsWith" text="P3">
      <formula>LEFT(J2,2)="P3"</formula>
    </cfRule>
    <cfRule type="beginsWith" dxfId="3" priority="4" operator="beginsWith" text="P4">
      <formula>LEFT(J2,2)="P4"</formula>
    </cfRule>
  </conditionalFormatting>
  <conditionalFormatting sqref="O2:O422">
    <cfRule type="beginsWith" dxfId="4" priority="5" operator="beginsWith" text="Persistent low">
      <formula>LEFT(O2,14)="Persistent low"</formula>
    </cfRule>
    <cfRule type="beginsWith" dxfId="5" priority="6" operator="beginsWith" text="Newly declined">
      <formula>LEFT(O2,14)="Newly declined"</formula>
    </cfRule>
    <cfRule type="beginsWith" dxfId="6" priority="7" operator="beginsWith" text="Recovered">
      <formula>LEFT(O2,9)="Recovered"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Summary</vt:lpstr>
      <vt:lpstr>All Follow-ups</vt:lpstr>
      <vt:lpstr>BANNU</vt:lpstr>
      <vt:lpstr>DIKHAN</vt:lpstr>
      <vt:lpstr>KHYBER</vt:lpstr>
      <vt:lpstr>LAKKIMRWT</vt:lpstr>
      <vt:lpstr>PESHAWAR</vt:lpstr>
      <vt:lpstr>TANK</vt:lpstr>
      <vt:lpstr>WAZIR-N</vt:lpstr>
      <vt:lpstr>WAZIR-S Lower</vt:lpstr>
      <vt:lpstr>WAZIR-S Upper</vt:lpstr>
      <vt:lpstr>Persistent Low UCs</vt:lpstr>
      <vt:lpstr>All UCs</vt:lpstr>
      <vt:lpstr>'All Follow-ups'!Print_Titles</vt:lpstr>
      <vt:lpstr>BANNU!Print_Titles</vt:lpstr>
      <vt:lpstr>DIKHAN!Print_Titles</vt:lpstr>
      <vt:lpstr>KHYBER!Print_Titles</vt:lpstr>
      <vt:lpstr>LAKKIMRWT!Print_Titles</vt:lpstr>
      <vt:lpstr>'Persistent Low UCs'!Print_Titles</vt:lpstr>
      <vt:lpstr>PESHAWAR!Print_Titles</vt:lpstr>
      <vt:lpstr>TANK!Print_Titles</vt:lpstr>
      <vt:lpstr>'WAZIR-N'!Print_Titles</vt:lpstr>
      <vt:lpstr>'WAZIR-S Lower'!Print_Titles</vt:lpstr>
      <vt:lpstr>'WAZIR-S Upper'!Print_Titles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2026-10-09T12:43:16Z</dcterms:created>
  <dcterms:modified xsi:type="dcterms:W3CDTF">2026-10-09T12:43:16Z</dcterms:modified>
</cp:coreProperties>
</file>